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aain\OneDrive\Desktop\"/>
    </mc:Choice>
  </mc:AlternateContent>
  <bookViews>
    <workbookView windowWidth="18350" windowHeight="8080" tabRatio="841" activeTab="1"/>
  </bookViews>
  <sheets>
    <sheet name="Datos" sheetId="50" r:id="rId1"/>
    <sheet name="PRODUCTS" sheetId="76" r:id="rId2"/>
    <sheet name="COILS" sheetId="60" r:id="rId3"/>
    <sheet name="ESPECIFICACIONES PELpara los án" sheetId="84" state="hidden" r:id="rId4"/>
    <sheet name="Hoja1" sheetId="83" state="hidden" r:id="rId5"/>
    <sheet name="GENERAL SPECIFICATIONS CINTAC" sheetId="81" r:id="rId6"/>
    <sheet name="GENERAL SPECIFICATIONS TUPEMESA" sheetId="82" r:id="rId7"/>
  </sheets>
  <definedNames>
    <definedName name="_xlnm._FilterDatabase" localSheetId="1" hidden="1">PRODUCTS!$A$2:$N$30</definedName>
    <definedName name="_xlnm._FilterDatabase" localSheetId="2" hidden="1">COILS!$A$2:$S$83</definedName>
    <definedName name="_xlnm._FilterDatabase" localSheetId="6" hidden="1">'GENERAL SPECIFICATIONS TUPEMESA'!$A$145:$J$173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<sst xmlns="http://schemas.openxmlformats.org/spreadsheetml/2006/main" count="1834" uniqueCount="605">
  <si>
    <t>Lote</t>
  </si>
  <si>
    <t>Steel</t>
  </si>
  <si>
    <t>Familia</t>
  </si>
  <si>
    <t>Destino</t>
  </si>
  <si>
    <t>País</t>
  </si>
  <si>
    <t>Financiamiento</t>
  </si>
  <si>
    <t>IN.1</t>
  </si>
  <si>
    <t>Zincalume za</t>
  </si>
  <si>
    <t>ZA</t>
  </si>
  <si>
    <t>Valparaíso</t>
  </si>
  <si>
    <t>Chile</t>
  </si>
  <si>
    <t>LC AT Sight</t>
  </si>
  <si>
    <t>IN.9</t>
  </si>
  <si>
    <t>Zincalume afp</t>
  </si>
  <si>
    <t>210 días</t>
  </si>
  <si>
    <t>IN.1E</t>
  </si>
  <si>
    <t>180 dias</t>
  </si>
  <si>
    <t>IN.2E</t>
  </si>
  <si>
    <t>Zincalume</t>
  </si>
  <si>
    <t>250 días</t>
  </si>
  <si>
    <t>IN.7E</t>
  </si>
  <si>
    <t>120 dias</t>
  </si>
  <si>
    <t>CA.2</t>
  </si>
  <si>
    <t>150 dias</t>
  </si>
  <si>
    <t>TU.5</t>
  </si>
  <si>
    <t>Callao</t>
  </si>
  <si>
    <t>Perú Tupemesa</t>
  </si>
  <si>
    <t>90 días</t>
  </si>
  <si>
    <t>CL.1</t>
  </si>
  <si>
    <t>Perú Calaminon</t>
  </si>
  <si>
    <t>IN.4</t>
  </si>
  <si>
    <t>Pre-painted</t>
  </si>
  <si>
    <t>PPGL</t>
  </si>
  <si>
    <t>IN.4E</t>
  </si>
  <si>
    <t>IN.41E</t>
  </si>
  <si>
    <t>TU.4</t>
  </si>
  <si>
    <t>CL.2</t>
  </si>
  <si>
    <t>IN.10</t>
  </si>
  <si>
    <t>Galvanized</t>
  </si>
  <si>
    <t>GI</t>
  </si>
  <si>
    <t>CIN.2</t>
  </si>
  <si>
    <t>Option galvanised</t>
  </si>
  <si>
    <t>CA.1</t>
  </si>
  <si>
    <t>TU.3</t>
  </si>
  <si>
    <t>TU.3E</t>
  </si>
  <si>
    <t>Galvanized AFP</t>
  </si>
  <si>
    <t>TU.6</t>
  </si>
  <si>
    <t>CL.7</t>
  </si>
  <si>
    <t>PPGI</t>
  </si>
  <si>
    <t>CL.8</t>
  </si>
  <si>
    <t>CL.6</t>
  </si>
  <si>
    <t>Hot rolled</t>
  </si>
  <si>
    <t>HRC</t>
  </si>
  <si>
    <t>CL.3</t>
  </si>
  <si>
    <t>HRC Galvanized</t>
  </si>
  <si>
    <t>CIN.6</t>
  </si>
  <si>
    <t>CIN.6D</t>
  </si>
  <si>
    <t>CA.4</t>
  </si>
  <si>
    <t>CA.8E</t>
  </si>
  <si>
    <t>TU.2</t>
  </si>
  <si>
    <t>TU.2E</t>
  </si>
  <si>
    <t>CA.5</t>
  </si>
  <si>
    <t>Cold rolled</t>
  </si>
  <si>
    <t>CRC</t>
  </si>
  <si>
    <t>TU.1</t>
  </si>
  <si>
    <t>CA.7</t>
  </si>
  <si>
    <t>Floor Plates in coil</t>
  </si>
  <si>
    <t>OTROS</t>
  </si>
  <si>
    <t>CA.11</t>
  </si>
  <si>
    <t>Plates</t>
  </si>
  <si>
    <t>TU.7</t>
  </si>
  <si>
    <t>TU.2 PT</t>
  </si>
  <si>
    <t xml:space="preserve">Structural Tubes </t>
  </si>
  <si>
    <t>TU.3 PT</t>
  </si>
  <si>
    <t>Glv structural circular pipes</t>
  </si>
  <si>
    <t>TU.5 PT</t>
  </si>
  <si>
    <t>Checkered</t>
  </si>
  <si>
    <t>TU.6 PT</t>
  </si>
  <si>
    <t>Profiles</t>
  </si>
  <si>
    <t>TU.7 PT</t>
  </si>
  <si>
    <t>TU.8 PT</t>
  </si>
  <si>
    <t>CIN.1 PT</t>
  </si>
  <si>
    <t>Pipes</t>
  </si>
  <si>
    <t>CIN.2 PT</t>
  </si>
  <si>
    <t>CIN.3 PT</t>
  </si>
  <si>
    <t>CIN.4 PT</t>
  </si>
  <si>
    <t>CIN.5 PT</t>
  </si>
  <si>
    <t>Conduit</t>
  </si>
  <si>
    <t>CIN.6 PT</t>
  </si>
  <si>
    <t>Tubes</t>
  </si>
  <si>
    <t>CIN.7 PT</t>
  </si>
  <si>
    <t>Yoder pipes</t>
  </si>
  <si>
    <t>TU.2D</t>
  </si>
  <si>
    <t>TU.5D</t>
  </si>
  <si>
    <t>TU.3D</t>
  </si>
  <si>
    <t>PRO.5 PT</t>
  </si>
  <si>
    <t>TU.4D</t>
  </si>
  <si>
    <t>PPAM</t>
  </si>
  <si>
    <t>IN.4D</t>
  </si>
  <si>
    <t>Complete</t>
  </si>
  <si>
    <t>COUNTRY</t>
  </si>
  <si>
    <t>LOT</t>
  </si>
  <si>
    <t>DESCRIPTION</t>
  </si>
  <si>
    <t>INQ Q'ty</t>
  </si>
  <si>
    <t>SUPPLIER</t>
  </si>
  <si>
    <t>OFFER Q'ty</t>
  </si>
  <si>
    <t>TYPE OF FINANCING</t>
  </si>
  <si>
    <t>MILL OPTION</t>
  </si>
  <si>
    <t>SHIPMENT</t>
  </si>
  <si>
    <t>PORT OF LOADING</t>
  </si>
  <si>
    <t>PORT OF DISCHARGE</t>
  </si>
  <si>
    <t>REMARK</t>
  </si>
  <si>
    <t>FOB USD/TON</t>
  </si>
  <si>
    <t>CFR USD/TON</t>
  </si>
  <si>
    <t>CIF USD/TON</t>
  </si>
  <si>
    <t>PL ESTRIADA ASTM A36 2.00 X 1200 X 2400</t>
  </si>
  <si>
    <t>PL ESTRIADA ASTM A36 2.50 X 1200 X 2400</t>
  </si>
  <si>
    <t>PL ESTRIADA ASTM A36 2.90 X 1200 X 2400</t>
  </si>
  <si>
    <t>ANG 25 x 25 x 2.5 X6M</t>
  </si>
  <si>
    <t>BARRA REDONDA  1/2 X 6.00 M</t>
  </si>
  <si>
    <t>ANG 1 1/2  x 1 1/2  x 3/32  X  6M</t>
  </si>
  <si>
    <t>BARRA REDONDA  5/8 X 6.00 M</t>
  </si>
  <si>
    <t>ANG 3/4 x 2.5 x 6M</t>
  </si>
  <si>
    <t>BARRA REDONDA  3/8 X 6.00 M</t>
  </si>
  <si>
    <t>PLATINA 1/2 X 1/8 X 6.00 M.</t>
  </si>
  <si>
    <t>PLATINA  2 X 1/8 X 6.00 M</t>
  </si>
  <si>
    <t>PLATINA 1 X 1/8 X 6.00 M.</t>
  </si>
  <si>
    <t>ANG 25 x 25 x 3.0X6M</t>
  </si>
  <si>
    <t>ANG 1 1/2 x 1 1/2 x 1/8 x 6M</t>
  </si>
  <si>
    <t>BARRA CUADRADA 9 x 9 X 6M</t>
  </si>
  <si>
    <t>BARRA CUADRADA  12 x12 X 6M</t>
  </si>
  <si>
    <t>CUA ESTR 150 X 3.00 X 6.00 LAC</t>
  </si>
  <si>
    <t>REC 200 X 100 X 4.50 X 6.00 LAC</t>
  </si>
  <si>
    <t>REC 150 X 100 X 4.50 X 6.00 LAC</t>
  </si>
  <si>
    <t>CUA ESTR 150 X 4.50 X 6.00 LAC</t>
  </si>
  <si>
    <t>REC 150 X 100 X 3.00 X 6.00 LAC</t>
  </si>
  <si>
    <t>REC 200 X 100 X 3.00 X 6.00 LAC</t>
  </si>
  <si>
    <t>RECT 150X100X3,00 MM 6000</t>
  </si>
  <si>
    <t>CUAD 150X150X3,00 MM 6000</t>
  </si>
  <si>
    <t>CUAD 150X150X4,00 MM 6000</t>
  </si>
  <si>
    <t>RECT 200X100X3,00 MM 6000</t>
  </si>
  <si>
    <t>CUAD 200X200X4,00 MM 12000</t>
  </si>
  <si>
    <t>STEEL</t>
  </si>
  <si>
    <t>Thickness [mm]</t>
  </si>
  <si>
    <t>Width [mm]</t>
  </si>
  <si>
    <t>Used / Color / SS designation</t>
  </si>
  <si>
    <t>Coil weights</t>
  </si>
  <si>
    <t>PAYMENT TERMS</t>
  </si>
  <si>
    <t>COUNTRY OF ORIGIN</t>
  </si>
  <si>
    <t>SS40/G60</t>
  </si>
  <si>
    <t>9-10 TM</t>
  </si>
  <si>
    <t>SS40/G40</t>
  </si>
  <si>
    <t>5-6 TM</t>
  </si>
  <si>
    <t>Coil: 16TM max, 13 TM min. (30%) |  Coil: 18TM max, 15 TM min. (70%)</t>
  </si>
  <si>
    <t xml:space="preserve"> Coil: 22,5TM max, 19,5 TM min.</t>
  </si>
  <si>
    <t>Coil: 18TM max, 15 TM min.</t>
  </si>
  <si>
    <t>Coil: 22,5TM max, 19,5 TM min.</t>
  </si>
  <si>
    <t>Coil: 15TM max, 12 TM min.</t>
  </si>
  <si>
    <t>AZM150</t>
  </si>
  <si>
    <t>5 TM</t>
  </si>
  <si>
    <t>G90</t>
  </si>
  <si>
    <t>8 TM</t>
  </si>
  <si>
    <t>RAL9003/7042</t>
  </si>
  <si>
    <t>TERRACOTA</t>
  </si>
  <si>
    <t>RAL9017/7042</t>
  </si>
  <si>
    <t>RAL9006/7042</t>
  </si>
  <si>
    <t>RAL9002/7042</t>
  </si>
  <si>
    <t>RAL7040/7042</t>
  </si>
  <si>
    <t>RAL7024/7042</t>
  </si>
  <si>
    <t>PPAM100</t>
  </si>
  <si>
    <t>ZAM80</t>
  </si>
  <si>
    <t>AZM80</t>
  </si>
  <si>
    <t>12-16 TM</t>
  </si>
  <si>
    <t>15-23 TM</t>
  </si>
  <si>
    <t>TU.2A</t>
  </si>
  <si>
    <t>ASTM A36 Sulfur, max, % 0.05 /Sum of carbon, manganese, phosphorus, sulfur, and silicon, max, %0.70</t>
  </si>
  <si>
    <t>10-20 TM</t>
  </si>
  <si>
    <t>10-23 TM</t>
  </si>
  <si>
    <t>S355JR</t>
  </si>
  <si>
    <t>G40</t>
  </si>
  <si>
    <t>15-17 TM</t>
  </si>
  <si>
    <t>15-19 TM</t>
  </si>
  <si>
    <t>ZAM100</t>
  </si>
  <si>
    <t>4-5 TM</t>
  </si>
  <si>
    <t>8-10 TM</t>
  </si>
  <si>
    <t>G01</t>
  </si>
  <si>
    <t>10-15 TM</t>
  </si>
  <si>
    <t>RAL9003/9003</t>
  </si>
  <si>
    <t>AZ050</t>
  </si>
  <si>
    <t>para los ángulos; pletinas laminadas; barras redondas lisas - estriadas (para uso estructuras metálicas), la Norma de referencia es:</t>
  </si>
  <si>
    <t>NCh203 Of.2006;</t>
  </si>
  <si>
    <t>ASTM A36 y Comercial.</t>
  </si>
  <si>
    <t>Calidad del acero A270ES</t>
  </si>
  <si>
    <t> Nota: El tema de embalaje es sumamente importante(protección para su traslado), el peso y la identificación por cada bultos(descripción del producto; numero de colada; norma de referencia de fabricación; peso del bulto).</t>
  </si>
  <si>
    <t>TM</t>
  </si>
  <si>
    <t>USD/TM</t>
  </si>
  <si>
    <t>USD TOTAL</t>
  </si>
  <si>
    <t>CIN.3PT</t>
  </si>
  <si>
    <t>CIN.4PT</t>
  </si>
  <si>
    <t>Total Chile</t>
  </si>
  <si>
    <t>Total Perú Tupemesa</t>
  </si>
  <si>
    <t>Total general</t>
  </si>
  <si>
    <t>Perú</t>
  </si>
  <si>
    <t>Total General</t>
  </si>
  <si>
    <t>GENERAL SPECIFICATIONS CINTAC</t>
  </si>
  <si>
    <t>All products must be marked with the name "CINTAC" orange color.</t>
  </si>
  <si>
    <t>Mill test and packing list must be sent in Excel format. Packing List with Heat No.</t>
  </si>
  <si>
    <t>Offers will be accepted with observations, however they must be equivalent with the general specifications of each lot.</t>
  </si>
  <si>
    <t>All products must be shipped to Port Valparaíso of Chile</t>
  </si>
  <si>
    <t>Lot IN.1   (Instapanel)</t>
  </si>
  <si>
    <t>ZINCALUME (Industrial panels, roofing and siding for painting)</t>
  </si>
  <si>
    <t>GENERAL SPECIFICATIONS:</t>
  </si>
  <si>
    <t>● Steel sheet, aluminum-zinc alloy 55%, coated in coils. Structural quality: Grade 37, according to ASTM A 792.</t>
  </si>
  <si>
    <t>● Coating designation: AZM 150 Regular spangle, chromated.</t>
  </si>
  <si>
    <t>● Dry. Skin passed. Leveled.</t>
  </si>
  <si>
    <t>Minimum surface tension: ≥ 38 dynes/cm (requirement for paint application).</t>
  </si>
  <si>
    <t>● Maximum coil weight: 5 metric tons, inner coil diameter: 20".</t>
  </si>
  <si>
    <t>● Properly packed for sea export with certification “Eye to the Wall”.</t>
  </si>
  <si>
    <t>● SURFACE CONDITIONS: Free of oxides, stains, visible defects, inclusions, or deep marks. Finish in accordance with surface tolerances established in ASTM A 792 and specific paintability requirements.</t>
  </si>
  <si>
    <t>● COILING CONDITIONS: Compact coil, without lateral displacements or deformations. Even and stable winding, without excessive telescoping or stepped layers. Edges aligned and properly contained to prevent damage during transport and handling.</t>
  </si>
  <si>
    <t>● Edge waviness: ≤ 3 mm per 1000 mm (supplementary criterion), ≤ 1.5 mm for length &lt; 200 mm (supplementary criterion).</t>
  </si>
  <si>
    <t>Center waviness: According to ASTM A568 / EN 10131.</t>
  </si>
  <si>
    <t>Camber (longitudinal bow): ≤ 5 mm over 2000 mm length (reference ASTM A568).</t>
  </si>
  <si>
    <t>Crown (transverse curvature): Maximum tolerance of 0.15% of the nominal strip width.</t>
  </si>
  <si>
    <t>Example: for 1000 mm width → maximum crown 1.5 mm. Flatness must allow stable uncoiling and continuous feeding into the paint line without manual correction.</t>
  </si>
  <si>
    <t>● Certificate of analysis: coil number, heat number, chemical composition, hardness, mechanical properties, bend test, tensile test, zinc coating, and surface finish.</t>
  </si>
  <si>
    <t>● Packing list: including heat and coil number, net and gross weight, dimensions, production date, and country of origin.</t>
  </si>
  <si>
    <t>Thickness (1)</t>
  </si>
  <si>
    <t>Thickness tolerances in mm</t>
  </si>
  <si>
    <t>Width</t>
  </si>
  <si>
    <t>mm</t>
  </si>
  <si>
    <t>Less</t>
  </si>
  <si>
    <t>Over</t>
  </si>
  <si>
    <t>Used</t>
  </si>
  <si>
    <t>0.33</t>
  </si>
  <si>
    <t>0.02</t>
  </si>
  <si>
    <t>Industrial</t>
  </si>
  <si>
    <t>0.38</t>
  </si>
  <si>
    <t>Subtotal</t>
  </si>
  <si>
    <t>Lot IN.4 (Instapanel)</t>
  </si>
  <si>
    <t>ZINCALUM STEEL PRE-PAINTED  (Industrial panels, roofing and siding )</t>
  </si>
  <si>
    <t>● Pre-painted steel with protective film. Base metal: Steel sheet coated with Al-Zn-Mg alloy by hot-dip process; G300 (equivalent to Grade 37). AS 1397:2011 – Steel sheet and strip – Hot-dipped zinc/aluminium/magnesium-coated.</t>
  </si>
  <si>
    <t>● Coating designation: AM 100. Regular spangle.</t>
  </si>
  <si>
    <t>● Paint type: Regular Modified Polyester (R.M.P.).</t>
  </si>
  <si>
    <t>● Top side: 5 µm primer + 20 µm R.M.P. Back side: 5 µm primer. Epoxy primer, grey RAL 7042, for polyurethane injection. Hardness: 2B–2H, T-bend: TNPR 1–3, Adhesion 5B.</t>
  </si>
  <si>
    <t>● Gloss: 35–40% (Width 1219 mm).</t>
  </si>
  <si>
    <t>● Delta E: below 0.5.</t>
  </si>
  <si>
    <t>● Maximum coil weight: 5 MT / minimum 4 MT, inner coil diameter: 20″.</t>
  </si>
  <si>
    <t>● Packaging suitable for sea export. “Properly packaged for sea export – Eye to the sky.”</t>
  </si>
  <si>
    <t>● All products to be delivered according to samples.</t>
  </si>
  <si>
    <t>● Packing List with Heat No.</t>
  </si>
  <si>
    <t>Color</t>
  </si>
  <si>
    <t>RAL</t>
  </si>
  <si>
    <t xml:space="preserve">     0.02</t>
  </si>
  <si>
    <t>Terracota AMI15 brillo 7-8%</t>
  </si>
  <si>
    <t>Negro Ral 9017 brillo 7-8%</t>
  </si>
  <si>
    <t>0.46</t>
  </si>
  <si>
    <t>0.58</t>
  </si>
  <si>
    <t>9017 brillo 7-8%</t>
  </si>
  <si>
    <t>7024 brillo 7-8%</t>
  </si>
  <si>
    <t>Lot IN.9 (Instapanel)</t>
  </si>
  <si>
    <t>ZINCALUME   (Industrial panels not painted)</t>
  </si>
  <si>
    <t>● Steel sheet, 55% Aluminum-Zinc alloy coated in Coils, Structural quality Grade 37 according to ASTM A 792.</t>
  </si>
  <si>
    <t>● Coating designation AZM 150,  Chromated, Dry, With antifinger (AFP).</t>
  </si>
  <si>
    <t>● Maximum coil weight 5 MT, 20” Coil I.D.,</t>
  </si>
  <si>
    <t>● Properly packed for ocean freight exportation “Eye to the Wall “</t>
  </si>
  <si>
    <t xml:space="preserve">● Analisys Certificate: coil number, heat number, Chemical Composition, hardness, mechanical properties, </t>
  </si>
  <si>
    <t>bending test, tensile test, zinc coating, surface finishing.</t>
  </si>
  <si>
    <t>Lot IN.10 (Instapanel)</t>
  </si>
  <si>
    <t xml:space="preserve"> GALVANIZED STEEL</t>
  </si>
  <si>
    <t>● Steel sheet, Zinc coated in Coils, Structural quality Grade 37 according to ASTM A 653.</t>
  </si>
  <si>
    <t xml:space="preserve">● Coating designation G 90, Regular Spangle, , Passivated, Chromated, Unoiled, Tens Levered, Not Skin Passed, </t>
  </si>
  <si>
    <t xml:space="preserve">● Maximum coil weight 8 MT, 20” Coil I.D., </t>
  </si>
  <si>
    <t>● Analisys Certificate: coil number, heat number, Chemical Composition, hardness, mechanical properties,</t>
  </si>
  <si>
    <t xml:space="preserve"> bending test, tensile test, zinc coating, surface finishing.</t>
  </si>
  <si>
    <t xml:space="preserve">            0.03</t>
  </si>
  <si>
    <t xml:space="preserve"> </t>
  </si>
  <si>
    <t>Lot CIN.2 (Cintac)</t>
  </si>
  <si>
    <t xml:space="preserve"> GALVANISED</t>
  </si>
  <si>
    <t xml:space="preserve">● Steel sheet, Zinc coated in Coils, Structural quality, according to ASTM A 653, </t>
  </si>
  <si>
    <t>● Regular  Spangle, Chromated and Passivated and unoiled, 20” Coil I.D.</t>
  </si>
  <si>
    <t>|</t>
  </si>
  <si>
    <r>
      <rPr>
        <sz val="8"/>
        <rFont val="Garamond"/>
        <charset val="134"/>
      </rPr>
      <t xml:space="preserve">● Coil weight;  9 MT Min, </t>
    </r>
    <r>
      <rPr>
        <b/>
        <sz val="8"/>
        <rFont val="Garamond"/>
        <charset val="134"/>
      </rPr>
      <t xml:space="preserve">10 MT Maximum. </t>
    </r>
    <r>
      <rPr>
        <sz val="8"/>
        <rFont val="Garamond"/>
        <charset val="134"/>
      </rPr>
      <t>0,38X1.219 5 MT Min, 6 MT Maximun</t>
    </r>
  </si>
  <si>
    <t>SS/designation</t>
  </si>
  <si>
    <t>0.00</t>
  </si>
  <si>
    <t>40/g40</t>
  </si>
  <si>
    <t>40/g60</t>
  </si>
  <si>
    <t>40/g90</t>
  </si>
  <si>
    <t>0.03</t>
  </si>
  <si>
    <t>Lot CIN.6 (Cintac)</t>
  </si>
  <si>
    <t>Hot Rolled</t>
  </si>
  <si>
    <t>● According to ASTM A1011, Gr 40.. optional A36-B (Si &lt; 0,02% and Si+ 2,5xP&lt;0,09%)</t>
  </si>
  <si>
    <t xml:space="preserve">● Tolerances:  According to ASTM A568M/635M </t>
  </si>
  <si>
    <t>● According to NCh 203/3518/3576 (P&lt;0.035%; S&lt;0.035% )
250 &lt; Fy &lt; 350 Mpa; Fy/Fu ≤ 0,85
Weldability ≤ 0,48. Formula CE = C+(Mn)/6+(Cr+Mo+V)/5+(Ni+Cu)/15 ≤ 0,48</t>
  </si>
  <si>
    <t>● Coil: According to what is indicated in red for each thickness.</t>
  </si>
  <si>
    <t>● Edge mill. Internal diametrer  630 mm up to 760 mm., no fish tale.</t>
  </si>
  <si>
    <t xml:space="preserve">● Marking: grade, size, heat number, coil number, destination, mill. </t>
  </si>
  <si>
    <t>● Properly packed for ocean freight exportation “Eye horizontal “</t>
  </si>
  <si>
    <t>Coil</t>
  </si>
  <si>
    <t>● Coil: 15TM max, 12 TM min.</t>
  </si>
  <si>
    <t>● Coil: 18TM max, 15 TM min.</t>
  </si>
  <si>
    <t>● Coil: 22,5TM max, 19,5 TM min.</t>
  </si>
  <si>
    <t>● Coil: 16TM max, 13 TM min. (30%) |  Coil: 18TM max, 15 TM min. (70%)</t>
  </si>
  <si>
    <t>Lot CIN.6D (Cintac)</t>
  </si>
  <si>
    <t>● Tolerances:  According to ASTM A568M/635M</t>
  </si>
  <si>
    <t>Lot CA.1 (Centroacero)</t>
  </si>
  <si>
    <t xml:space="preserve">GALVANIZED STEEL </t>
  </si>
  <si>
    <t>● Steel Sheet, Zinc Coated in Coils, Comercial Steel according to ASTM A 653, CS grade A or B</t>
  </si>
  <si>
    <t xml:space="preserve">Coating G 60, Regular Spangle, </t>
  </si>
  <si>
    <t>● Passivated, Chromated, dry, tens levered, free of any surface defect.</t>
  </si>
  <si>
    <t xml:space="preserve">● Inside diameter :610 mm. max. 510 mm minimum,  </t>
  </si>
  <si>
    <t>● Coil weight; 8 MT max. 6 MT min., Properly packed for ocean freight exportation “Eye to the Wall “</t>
  </si>
  <si>
    <t>Lot CA.2   (Centroacero)</t>
  </si>
  <si>
    <t>ZINCALUME</t>
  </si>
  <si>
    <t>● Steel sheet, 55% Aluminum-Zinc alloy coated in Coils. Structural quality Grade 37,</t>
  </si>
  <si>
    <t>according to ASTM A 792. Chromated. Dry. Skin passed. Tens levered.</t>
  </si>
  <si>
    <t xml:space="preserve">● Coating designation AZM 150 Regular spangle  </t>
  </si>
  <si>
    <r>
      <rPr>
        <sz val="8"/>
        <rFont val="Garamond"/>
        <charset val="134"/>
      </rPr>
      <t>Thickness</t>
    </r>
    <r>
      <rPr>
        <b/>
        <sz val="8"/>
        <color indexed="12"/>
        <rFont val="Garamond"/>
        <charset val="134"/>
      </rPr>
      <t xml:space="preserve"> (1)</t>
    </r>
  </si>
  <si>
    <t>(1) Thickness includes the base metal and the metallic coating</t>
  </si>
  <si>
    <t>Lot CA.4 (Centroacero)</t>
  </si>
  <si>
    <t>● Tolerances:  According to ASTM A568M/635M</t>
  </si>
  <si>
    <t>● According to NCh 203/3518/3576 (P&lt;0.035%; S&lt;0.035% )
250 &lt; Fy &lt; 350 Mpa; Fy/Fu ≤ 0,85
Weldability ≤ 0,48. Formula CE = C+(Mn)/6+(Cr+Mo+V)/5+(Ni+Cu)/15 ≤ 0,48 
Charpy impact test required: ≥ 27 Joules a 20°C +/- 3° for steel t ≥10mm</t>
  </si>
  <si>
    <t xml:space="preserve">● Coil: 12TM max-8 TM min., edge mill. Internal diametrer  630 mm up to 760 mm., no fish tale. </t>
  </si>
  <si>
    <t>● Marking: grade, size, heat number, coil number, destination, mill.</t>
  </si>
  <si>
    <t>Lot CA.5 (Centroacero)</t>
  </si>
  <si>
    <t>Cold Rolled Sheet In coils SAE1008</t>
  </si>
  <si>
    <t>● Cold Roll Sheet in coils, SAE 1008 / SAE 1010</t>
  </si>
  <si>
    <t>● Thickness  tolerances 50% ASTM A 568M A568 centred. Other tolerances ASTM A 568M</t>
  </si>
  <si>
    <t xml:space="preserve">● Coil weight 10 TM. internal diameter 510mm, no fish tail, mill edges. Semi matt, oiled, supplied and, </t>
  </si>
  <si>
    <t xml:space="preserve">any surface defect that can affect end use. </t>
  </si>
  <si>
    <t>Wide</t>
  </si>
  <si>
    <t>0.57</t>
  </si>
  <si>
    <t>0.75</t>
  </si>
  <si>
    <t>0.95</t>
  </si>
  <si>
    <t>1.15</t>
  </si>
  <si>
    <t>1.45</t>
  </si>
  <si>
    <t>1.9</t>
  </si>
  <si>
    <t>Lot CA. 7 (Centroacero)</t>
  </si>
  <si>
    <t>Floor Plates IN COIL</t>
  </si>
  <si>
    <t>● Steel A 36, ASTM A 786 M.   ASTM A 786M Thickneess tolerance 50% ASTM A786M.</t>
  </si>
  <si>
    <t>● Marking: grade, size, heat number, coil number,destination, mill.</t>
  </si>
  <si>
    <t>● Pattern: Number 3 or 4.</t>
  </si>
  <si>
    <t>2.5</t>
  </si>
  <si>
    <t>3.0</t>
  </si>
  <si>
    <t>Lot CA. 11 (Centroacero)</t>
  </si>
  <si>
    <t>● Structural quality, A 36. Tolerance according A6.</t>
  </si>
  <si>
    <t>● Mills Certificate: according to EN 10204 3.1 B</t>
  </si>
  <si>
    <t>● Quantity tolerance: +/ - 10% each item.</t>
  </si>
  <si>
    <t>● Invoice: Theorical weight 7.85 kg/ dm3 (with 3 decimals)</t>
  </si>
  <si>
    <t>● Others: all thickness bending test included.</t>
  </si>
  <si>
    <t>Lengh</t>
  </si>
  <si>
    <t>6.0</t>
  </si>
  <si>
    <t>8.0</t>
  </si>
  <si>
    <t>10.0</t>
  </si>
  <si>
    <t>12.0</t>
  </si>
  <si>
    <t>16.0</t>
  </si>
  <si>
    <t>20.0</t>
  </si>
  <si>
    <t>25.0</t>
  </si>
  <si>
    <t>14.0</t>
  </si>
  <si>
    <t>Lot IN.1 E  (Instapanel)</t>
  </si>
  <si>
    <t xml:space="preserve">● Steel sheet, 55% Aluminum-Zinc alloy coated in Coils. Structural quality Grade 37, according to ASTM A 792. </t>
  </si>
  <si>
    <r>
      <rPr>
        <sz val="8"/>
        <rFont val="Garamond"/>
        <charset val="134"/>
      </rPr>
      <t>● Coating designation</t>
    </r>
    <r>
      <rPr>
        <b/>
        <sz val="10"/>
        <rFont val="Garamond"/>
        <charset val="134"/>
      </rPr>
      <t xml:space="preserve"> AZM80</t>
    </r>
    <r>
      <rPr>
        <sz val="8"/>
        <rFont val="Garamond"/>
        <charset val="134"/>
      </rPr>
      <t xml:space="preserve"> Regular spangle Chromated.</t>
    </r>
  </si>
  <si>
    <t>● Dry. Skin passed. Tens levered.</t>
  </si>
  <si>
    <t>Lot IN.2E</t>
  </si>
  <si>
    <t xml:space="preserve">● Steel sheet, 55% Aluminum-Zinc alloy coated in Coils, Structural quality Grade 37 according to ASTM A 792, </t>
  </si>
  <si>
    <t xml:space="preserve">● Analisys Certificate: coil number, heat number, Chemical Composition, hardness, mechanical </t>
  </si>
  <si>
    <t>properties, bending test, tensile test, zinc coating, surface finishing.</t>
  </si>
  <si>
    <t>0.28</t>
  </si>
  <si>
    <t>Lot IN.7E</t>
  </si>
  <si>
    <t>● Coating designation AZM 80,  Chromated, Dry, With antifinger (AFP).</t>
  </si>
  <si>
    <t>Lot CA.8E</t>
  </si>
  <si>
    <t>Hot Rolled in coils CE mark  Si &lt; 0,02% and Si+ 2,5xP&lt;0,09%</t>
  </si>
  <si>
    <t>● According to EN 10025-1 / EN 10025-2  CE mark (Si &lt; 0,02% and Si+ 2,5xP&lt;0,09%)</t>
  </si>
  <si>
    <t xml:space="preserve">● Coil: 15TM max, 10 TM min., edge mill. Internal diametrer  630 mm up to 760 mm., no fish tale. </t>
  </si>
  <si>
    <t>Thickness</t>
  </si>
  <si>
    <t>Spec</t>
  </si>
  <si>
    <t>3.80</t>
  </si>
  <si>
    <t>S235JR</t>
  </si>
  <si>
    <t>2.35</t>
  </si>
  <si>
    <t>4.80</t>
  </si>
  <si>
    <t>S275JR</t>
  </si>
  <si>
    <t>3.70</t>
  </si>
  <si>
    <t>Lot IN.4.1E (Instapanel)</t>
  </si>
  <si>
    <t>ZINCALUM STEEL POST-PAINTED  (Spanish Roof)</t>
  </si>
  <si>
    <t xml:space="preserve">● Zincalume postpainted  with protection film, Based metal: Steel Sheet, 55% Aluminum-Zinc alloy coated in Coils, </t>
  </si>
  <si>
    <t xml:space="preserve">Structural Quality Grade 37 according to ASTM A 792, </t>
  </si>
  <si>
    <t>● Coating designation  AZM 150. Regular Spangle</t>
  </si>
  <si>
    <t>● Pain type: Regular modified polyester (R.M.P.). With protection film</t>
  </si>
  <si>
    <t xml:space="preserve">● Top Side: 5 mic. Primer + 35 mc. RMP Print. Back Side: 5 mic. Epoxy primer, color grey RAL 7042 </t>
  </si>
  <si>
    <t>● Color: Spanish Roof for CINTAC</t>
  </si>
  <si>
    <t xml:space="preserve">● Maximum coil weight 5 MT / minimun 4 MT , 20” Coil I.D., </t>
  </si>
  <si>
    <t>     0.02</t>
  </si>
  <si>
    <t>Spanish Roof</t>
  </si>
  <si>
    <t>Lot IN.4E (Instapanel)</t>
  </si>
  <si>
    <t xml:space="preserve">● Zincalume prepainted  with protection film, Based metal: Steel Sheet, 55% Aluminum-Zinc alloy coated in Coils, </t>
  </si>
  <si>
    <r>
      <rPr>
        <sz val="8"/>
        <rFont val="Garamond"/>
        <charset val="134"/>
      </rPr>
      <t xml:space="preserve">● Coating designation </t>
    </r>
    <r>
      <rPr>
        <b/>
        <sz val="11"/>
        <rFont val="Garamond"/>
        <charset val="134"/>
      </rPr>
      <t xml:space="preserve"> AZM 80.</t>
    </r>
    <r>
      <rPr>
        <sz val="8"/>
        <rFont val="Garamond"/>
        <charset val="134"/>
      </rPr>
      <t xml:space="preserve"> Regular Spangle</t>
    </r>
  </si>
  <si>
    <t xml:space="preserve">● Pain type: Regular modified polyester (R.M.P.).   </t>
  </si>
  <si>
    <r>
      <rPr>
        <sz val="8"/>
        <rFont val="Garamond"/>
        <charset val="134"/>
      </rPr>
      <t>●</t>
    </r>
    <r>
      <rPr>
        <b/>
        <sz val="11"/>
        <rFont val="Garamond"/>
        <charset val="134"/>
      </rPr>
      <t xml:space="preserve"> Top Side: 5 mic. Primer + 15 mc. R.M.P.</t>
    </r>
    <r>
      <rPr>
        <sz val="8"/>
        <rFont val="Garamond"/>
        <charset val="134"/>
      </rPr>
      <t xml:space="preserve"> Back Side: 5 mic. Epoxy primer, color grey RAL 7042 </t>
    </r>
  </si>
  <si>
    <t>for Polyurethane injection.</t>
  </si>
  <si>
    <r>
      <rPr>
        <sz val="8"/>
        <rFont val="Garamond"/>
        <charset val="134"/>
      </rPr>
      <t xml:space="preserve">● Brightness: </t>
    </r>
    <r>
      <rPr>
        <u/>
        <sz val="8"/>
        <rFont val="Garamond"/>
        <charset val="134"/>
      </rPr>
      <t xml:space="preserve">35 - 40 % (Width 1219) </t>
    </r>
  </si>
  <si>
    <r>
      <rPr>
        <sz val="8"/>
        <rFont val="Garamond"/>
        <charset val="134"/>
      </rPr>
      <t xml:space="preserve">● Delta E: </t>
    </r>
    <r>
      <rPr>
        <u/>
        <sz val="8"/>
        <rFont val="Garamond"/>
        <charset val="134"/>
      </rPr>
      <t>less than 0.5</t>
    </r>
  </si>
  <si>
    <t>● All products according to samples.</t>
  </si>
  <si>
    <t>CIN.5 PT                Tubular Square and rectangle - quality ASTM A 500 Grade B</t>
  </si>
  <si>
    <t>Codigo Sap</t>
  </si>
  <si>
    <t>thickness</t>
  </si>
  <si>
    <t>Lengths</t>
  </si>
  <si>
    <t>Kg/m</t>
  </si>
  <si>
    <t>Kg/unit</t>
  </si>
  <si>
    <t>CUAD 150X150X4,00 MM 12000</t>
  </si>
  <si>
    <t>CUAD 150X150X5,00 MM 6000</t>
  </si>
  <si>
    <t>CUAD 150X150X5,00 MM 12000</t>
  </si>
  <si>
    <t>CUAD 200X200X3,00 MM 6000</t>
  </si>
  <si>
    <t>CUAD 200X200X4,00 MM 6000</t>
  </si>
  <si>
    <t>CUAD 200X200X5,00 MM 12000</t>
  </si>
  <si>
    <t>CUAD 200X200X5,00 MM 6000</t>
  </si>
  <si>
    <t>CUAD 200X200X6,00 MM 12000</t>
  </si>
  <si>
    <t>RECT 150X100X3,00 MM 12000</t>
  </si>
  <si>
    <t>RECT 150X100X4,00 MM 6000</t>
  </si>
  <si>
    <t>RECT 150X100X4,00 MM 12000</t>
  </si>
  <si>
    <t>RECT 150X100X5,00 MM 6000</t>
  </si>
  <si>
    <t>RECT 150X100X5,00 MM 12000</t>
  </si>
  <si>
    <t>RECT 200X100X4,00 MM 6000</t>
  </si>
  <si>
    <t>RECT 200X100X4,00 MM 12000</t>
  </si>
  <si>
    <t>RECT 200X100X5,00 MM 6000</t>
  </si>
  <si>
    <t>RECT 200X100X5,00 MM 12000</t>
  </si>
  <si>
    <t>RECT 200X150X4,00 MM 12000</t>
  </si>
  <si>
    <t>RECT 200X150X5,00 MM 12000</t>
  </si>
  <si>
    <t>CUAD 150X150X3,00 MM 12000</t>
  </si>
  <si>
    <t>RECT 200X150X3,00 MM 6000</t>
  </si>
  <si>
    <t>RECT 200X150X4,00 MM 6000</t>
  </si>
  <si>
    <t>RECT 200X150X5,00 MM 6000</t>
  </si>
  <si>
    <t>Please note the followings</t>
  </si>
  <si>
    <t>Black Pipe with anti rust oil painting (oiled)</t>
  </si>
  <si>
    <t>All pipes with PVC cloth whole length packed for seaworthy shipment.</t>
  </si>
  <si>
    <t>Each bundle with tag (description)</t>
  </si>
  <si>
    <t xml:space="preserve">All pipes Bevel Both Ends (30°) </t>
  </si>
  <si>
    <t>Rigid Steel Pipe: Hot Dipped Galvanized Steel Pipes  with Both ends of threaded and one end of coupling and one end of PVC cap.</t>
  </si>
  <si>
    <t>Rigid Steel Pipe: with Both ends of threaded must to be painting with Zinc -rich paint (the threaded area)</t>
  </si>
  <si>
    <t>Tolerance tickness: +/- 5%</t>
  </si>
  <si>
    <t>MARKING AND PACKAGING</t>
  </si>
  <si>
    <t>The identification should consider a stenciling along the outer surface of the pipe with at least the following information:</t>
  </si>
  <si>
    <t>All packages must come with the CINTAC Mark</t>
  </si>
  <si>
    <t>Name of the company in capital letters : CINTAC</t>
  </si>
  <si>
    <t>Manufacturing Standard</t>
  </si>
  <si>
    <t>Steel grade</t>
  </si>
  <si>
    <t>Dimensions (diameter and thickness)</t>
  </si>
  <si>
    <t>Lot Number</t>
  </si>
  <si>
    <t>Production order number</t>
  </si>
  <si>
    <t>Manufacturing process (seamless / seamless with seam / seam)</t>
  </si>
  <si>
    <t>GENERAL SPECIFICATIONS TUPEMESA</t>
  </si>
  <si>
    <t>Lima Perú, August 2024</t>
  </si>
  <si>
    <t>►</t>
  </si>
  <si>
    <t>All products must be marked with the name "TUPEMESA" orange color.</t>
  </si>
  <si>
    <t>All products must be shipped to Port Callao of Perú.</t>
  </si>
  <si>
    <t>TU.1 (Tupemesa)</t>
  </si>
  <si>
    <t>Cold Rolled Sheet I colis SAE1010</t>
  </si>
  <si>
    <t>● Cold Roll Sheet in coils, according to ASTM  A 1008</t>
  </si>
  <si>
    <t xml:space="preserve">● Coil weight; thickness 0.6 mm 10 MT max. 10 MT min, thickness 0.73 mm 12 MT max. 10 MT min, thickness 0.78 mm 12 MT max. 10 MT min, thickness 0.85  mm 16 MT max. 12 MT min, thickness 1.12 mm 16 MT max. 12 MT min, thickness 1.4 mm 16 MT max. 12 MT min
Internal diameter 610 mm max , 508 mm min. </t>
  </si>
  <si>
    <t xml:space="preserve">● No fish tail, mill edges. Semi matt, oiled, supplied and, any surface defect that can affect end use.  </t>
  </si>
  <si>
    <t xml:space="preserve">grade, size, heat, number, coil number, destination mill. </t>
  </si>
  <si>
    <t>Lot TU.2 (Tupemesa)</t>
  </si>
  <si>
    <t>Hot Roll Sheet in coils</t>
  </si>
  <si>
    <t>● Hot Roll Sheet in coils, according to ASTM  A 36 (Si &lt; 0,02% and Si+ 2,5xP&lt;0,09%)</t>
  </si>
  <si>
    <t>● Tolerances:  According to ASTM A568M/635M, thickness 50% ASTM A568M/635M, mean to high. Free of any surface defect, not Waved Edge( thicknesses 1.9, 2.4 and 2.90 mm )</t>
  </si>
  <si>
    <t xml:space="preserve">● Coil: 23 TM max, 15 TM min., </t>
  </si>
  <si>
    <t xml:space="preserve">● Edge mill. Internal diametrer  508 mm up to 610 mm., no fish tale. Marking: grade, </t>
  </si>
  <si>
    <t>size, heat number, coil number, destination, mill.</t>
  </si>
  <si>
    <t>Lot TU.2D (Tupemesa)</t>
  </si>
  <si>
    <t>Lot TU.2E</t>
  </si>
  <si>
    <t>● According to EN 10025-1 / EN 10025-2  CE mark (Si &lt; 0,02% and Si+ 2,5xP&lt;0,09%) ,Thickness tolerance +/- according to 10051 (mm)</t>
  </si>
  <si>
    <t xml:space="preserve">● Coil: 15 TM max, 10 TM min., </t>
  </si>
  <si>
    <t>S235JRB</t>
  </si>
  <si>
    <t>S355JRB</t>
  </si>
  <si>
    <t>S275JRB</t>
  </si>
  <si>
    <t>Lot TU.3 (Tupemesa )</t>
  </si>
  <si>
    <t>● Steel Sheet, Zinc Coated in Coils, Comercial Steel according to ASTM A 653, CS grade A or B.</t>
  </si>
  <si>
    <r>
      <rPr>
        <sz val="9"/>
        <rFont val="Garamond"/>
        <charset val="134"/>
      </rPr>
      <t xml:space="preserve">● Coating G 40, </t>
    </r>
    <r>
      <rPr>
        <b/>
        <sz val="9"/>
        <rFont val="Garamond"/>
        <charset val="134"/>
      </rPr>
      <t>Zero Spangle</t>
    </r>
    <r>
      <rPr>
        <sz val="9"/>
        <rFont val="Garamond"/>
        <charset val="134"/>
      </rPr>
      <t>, Passivated, Chromated, dry, tens levered, free of any surface defect.</t>
    </r>
  </si>
  <si>
    <t xml:space="preserve">● Thickness tolerances:  50% ASTM A 924, others according ASTM A 924/924M </t>
  </si>
  <si>
    <t xml:space="preserve">● Inside diameter :610 mm. max. 508 mm minimum,  </t>
  </si>
  <si>
    <t>●  Coil weight; thickness 0.28 mm 5 MT max. 4 MT min, thickness 0.42 mm 10 MT max. 8 MT min, thickness 0.85 mm 15 MT max. 10 MT min, thickness 1.12  mm 17 MT max. 15 MT min, thickness 1.40 mm 17 MT max. 15 MT min, thickness 1.70 mm 19 MT max. 15 MT min, thickness 1.90 mm 19 MT max. 15 MT min,  thickness 2.4 mm 19 MT max. 15 MT min,  thickness 2.9 mm 19 MT max. 15 MT min
Properly packed for ocean freight exportation “Eye horizontal “</t>
  </si>
  <si>
    <t xml:space="preserve">0,28 </t>
  </si>
  <si>
    <t>Lot TU.3E (Tupemesa )</t>
  </si>
  <si>
    <t xml:space="preserve">● Steel sheet, Zinc coated in Coils, Structural quality grade SS40 , according to ASTM A 653. </t>
  </si>
  <si>
    <r>
      <rPr>
        <sz val="9"/>
        <rFont val="Garamond"/>
        <charset val="134"/>
      </rPr>
      <t xml:space="preserve">● Coating G 90, </t>
    </r>
    <r>
      <rPr>
        <b/>
        <sz val="9"/>
        <rFont val="Garamond"/>
        <charset val="134"/>
      </rPr>
      <t>Regular Spangle</t>
    </r>
    <r>
      <rPr>
        <sz val="9"/>
        <rFont val="Garamond"/>
        <charset val="134"/>
      </rPr>
      <t>, Passivated, Chromated, dry, tens levered, free of any surface defect.</t>
    </r>
  </si>
  <si>
    <t>●  Coil weight; thickness 0.28 mm 6 MT max. 5 MT min, thickness 0.43 mm 10 MT max. 8 MT min, thickness 0.85 mm 15 MT max. 10 MT min, 
other thicknesses 15 MT max. 8 MT min, Properly packed for ocean freight exportation “Eye horizontal “</t>
  </si>
  <si>
    <t>● For thicknesses of 0.28 mm, coils with a maximum weight of 5 TM - 7 TM tn should be considered</t>
  </si>
  <si>
    <t>1200/1000</t>
  </si>
  <si>
    <t>Lot TU.4 (Tupemesa)</t>
  </si>
  <si>
    <t>● Pre-painted steel with protective film. Base metal: Steel sheet coated with Al-Zn-Mg alloy by hot-dip process; G300 (equivalent to Grade 37). AS 1397:2011 – Steel sheet and strip – Hot-dipped zinc/aluminium/magnesium-coated. Coating designation: AM 100. Regular spangle.</t>
  </si>
  <si>
    <t>● Paint type: Regular Modified Polyester (R.M.P.). Top side: 5 µm primer + 20 µm R.M.P. Back side: 5 µm epoxy primer, white color RAL 9003, for polyurethane injection. Hardness: 2B–2H, T-bend: TNPR 1–3, Adhesion 5B.</t>
  </si>
  <si>
    <t>● Gloss: 35–40% (Width 1220 mm).</t>
  </si>
  <si>
    <t>● Maximum coil weight: 5 metric tons, inner coil diameter: 20″. Properly packaged for sea export “Eye to the sky.”</t>
  </si>
  <si>
    <t>● Inner coils: Steel 4.5 ≤ e ≤ 5.0.</t>
  </si>
  <si>
    <t xml:space="preserve">    Back Side</t>
  </si>
  <si>
    <t>0.28- RAL 9003</t>
  </si>
  <si>
    <t>0.38- RAL 9003</t>
  </si>
  <si>
    <t>0.38  - RAL 9003</t>
  </si>
  <si>
    <t>0.48  - RAL 9003</t>
  </si>
  <si>
    <t>0.58  RAL 9003</t>
  </si>
  <si>
    <t>Lot TU.5 (Tupemesa)</t>
  </si>
  <si>
    <t xml:space="preserve">● High corrosion resistant and thermal efficient hot dipped zinc-aluminium </t>
  </si>
  <si>
    <t>alloy (55% Al-Zn) coated* steel with spangled surface, according to ASTM  A 792.</t>
  </si>
  <si>
    <t>● Grade 37, AZM 150 / AZM 200, Regular Spangle Anti Finger Print (AFP) Finishing.</t>
  </si>
  <si>
    <t xml:space="preserve">● Coil weight; 7 MT max. 6  MT min., </t>
  </si>
  <si>
    <t>● Inner coils Steel 4.5 ≤e≤5.0</t>
  </si>
  <si>
    <r>
      <rPr>
        <sz val="8"/>
        <rFont val="Garamond"/>
        <charset val="134"/>
      </rPr>
      <t xml:space="preserve">0.28   </t>
    </r>
    <r>
      <rPr>
        <b/>
        <sz val="8"/>
        <rFont val="Garamond"/>
        <charset val="134"/>
      </rPr>
      <t>AZM150</t>
    </r>
  </si>
  <si>
    <r>
      <rPr>
        <sz val="8"/>
        <color rgb="FFFF0000"/>
        <rFont val="Garamond"/>
        <charset val="134"/>
      </rPr>
      <t xml:space="preserve">0.28   </t>
    </r>
    <r>
      <rPr>
        <b/>
        <sz val="8"/>
        <color rgb="FFFF0000"/>
        <rFont val="Garamond"/>
        <charset val="134"/>
      </rPr>
      <t>AZ050</t>
    </r>
  </si>
  <si>
    <r>
      <rPr>
        <sz val="8"/>
        <rFont val="Garamond"/>
        <charset val="134"/>
      </rPr>
      <t xml:space="preserve">0.38   </t>
    </r>
    <r>
      <rPr>
        <b/>
        <sz val="8"/>
        <rFont val="Garamond"/>
        <charset val="134"/>
      </rPr>
      <t>AZM 150</t>
    </r>
  </si>
  <si>
    <r>
      <rPr>
        <sz val="8"/>
        <color rgb="FFFF0000"/>
        <rFont val="Garamond"/>
        <charset val="134"/>
      </rPr>
      <t xml:space="preserve">0.38   </t>
    </r>
    <r>
      <rPr>
        <b/>
        <sz val="8"/>
        <color rgb="FFFF0000"/>
        <rFont val="Garamond"/>
        <charset val="134"/>
      </rPr>
      <t>AZM 50</t>
    </r>
  </si>
  <si>
    <r>
      <rPr>
        <sz val="8"/>
        <rFont val="Garamond"/>
        <charset val="134"/>
      </rPr>
      <t xml:space="preserve">0.48   </t>
    </r>
    <r>
      <rPr>
        <b/>
        <sz val="8"/>
        <rFont val="Garamond"/>
        <charset val="134"/>
      </rPr>
      <t>AZM 150</t>
    </r>
  </si>
  <si>
    <r>
      <rPr>
        <sz val="8"/>
        <rFont val="Garamond"/>
        <charset val="134"/>
      </rPr>
      <t xml:space="preserve">0.58   </t>
    </r>
    <r>
      <rPr>
        <b/>
        <sz val="8"/>
        <rFont val="Garamond"/>
        <charset val="134"/>
      </rPr>
      <t>AZM 150</t>
    </r>
  </si>
  <si>
    <t>● According to ASTM A572  grade 55 CE mark (Si &lt; 0,02% and Si+ 2,5xP&lt;0,09%)</t>
  </si>
  <si>
    <t>● Thickness tolerances: mean to high</t>
  </si>
  <si>
    <t>● Coil: 20 TM max, 10 TM min.</t>
  </si>
  <si>
    <t xml:space="preserve">● Edge mill. Internal diametrer  600 mm up to 800 mm., no fish tale. Marking: grade, </t>
  </si>
  <si>
    <t>size, heat number, coil number, destination,mill.</t>
  </si>
  <si>
    <t>Weight in</t>
  </si>
  <si>
    <t>Metric Ton</t>
  </si>
  <si>
    <t>Grade 55</t>
  </si>
  <si>
    <t>● According to ASTM A36 Sulfur, max, % 0.05 /Sum of carbon, manganese, phosphorus, sulfur, and silicon, max, %0.70</t>
  </si>
  <si>
    <t xml:space="preserve">● Coil: 20 TM max, 10 TM min., </t>
  </si>
  <si>
    <t xml:space="preserve">● Edge mill. Internal diametrer  600 mm up to 800 mm., no fish tale. Marking: grade, </t>
  </si>
  <si>
    <t>A36</t>
  </si>
  <si>
    <t>Total</t>
  </si>
  <si>
    <t>Lot TU.2 PT (Tupemesa)</t>
  </si>
  <si>
    <t xml:space="preserve">STRUCTURAL TUBES </t>
  </si>
  <si>
    <t xml:space="preserve">Structural Tubes According to ASTM A 500, Grade A, slightly oiled to prevent rust, Thickness tolerance Max -5%, OD tolerance +/-5%, Length tolerance: -0/+50mm.
</t>
  </si>
  <si>
    <t xml:space="preserve">Lengths:  6M          </t>
  </si>
  <si>
    <t>Description</t>
  </si>
  <si>
    <t>SIZE(mm)</t>
  </si>
  <si>
    <t xml:space="preserve">SQUARE </t>
  </si>
  <si>
    <t>4.5</t>
  </si>
  <si>
    <t>RECTANG</t>
  </si>
  <si>
    <t>150X100</t>
  </si>
  <si>
    <t>200X100</t>
  </si>
  <si>
    <t>Lot TU.3 PT (Tupemesa)</t>
  </si>
  <si>
    <t>Galvanized Structural Circular Pipes</t>
  </si>
  <si>
    <t xml:space="preserve">Galvanized Structural Circular Pipes According to ASTM A 500, Grade A, Zinc coating 300 g/m² as per BS 1387 - 1985, plain ends, in length of 6.40 metres with tolerances on length of  - 0 / + 20mm, seaworthy export packed in bundles as per mill´s standard.
</t>
  </si>
  <si>
    <t xml:space="preserve">thickness tolerance of  +/- 5% max.  </t>
  </si>
  <si>
    <t>LC A/S (USD/MT)</t>
  </si>
  <si>
    <t>Financed (USD/TM)</t>
  </si>
  <si>
    <t xml:space="preserve"> 1  1/2</t>
  </si>
  <si>
    <t>2.9</t>
  </si>
  <si>
    <t>2.0</t>
  </si>
  <si>
    <t>1  1/4</t>
  </si>
  <si>
    <t>1.0</t>
  </si>
  <si>
    <t>1/2</t>
  </si>
  <si>
    <t>3/4</t>
  </si>
  <si>
    <t>Lot TU.7 PT (Tupemesa)</t>
  </si>
  <si>
    <t>Hot Rolled Steel Checkered Sheets</t>
  </si>
  <si>
    <t xml:space="preserve">● Hot Rolled Sheets in quality  ASTM A36 Grade B, with  tear - drop pattern,  tolerance as per ASTM A6.
</t>
  </si>
  <si>
    <t>● Altura de resalte minimo 1.5mm</t>
  </si>
  <si>
    <t>● Free of any surface defect, not waved edge.</t>
  </si>
  <si>
    <t>2.00 x 1200 x 2400</t>
  </si>
  <si>
    <t>2.50 x 1200 x 2400</t>
  </si>
  <si>
    <t>2.90 x 1200 x 2400</t>
  </si>
  <si>
    <t>Lot TU.8 PT (Tupemesa)</t>
  </si>
  <si>
    <t>Galvanized Structural Pipes</t>
  </si>
  <si>
    <t xml:space="preserve">Galvanized Structural Pipes According to ASTM A 500, Grade A, Zinc coating 300 g/m² as per BS 1387 - 1985, plain ends, in length of 6.00 metres with tolerances on length of  - 0 / + 20mm, seaworthy export packed in bundles as per mill´s standard.
</t>
  </si>
  <si>
    <t>1.2</t>
  </si>
  <si>
    <t>Galvanized Structural Square Pipes</t>
  </si>
  <si>
    <t>1  1/4</t>
  </si>
  <si>
    <t>Galvanized Structural Rectangular Pipes</t>
  </si>
  <si>
    <t>60 x 40</t>
  </si>
  <si>
    <t>2.0 x 1.0</t>
  </si>
  <si>
    <t>80 x 40</t>
  </si>
  <si>
    <t>1 1/2</t>
  </si>
  <si>
    <t>0.9</t>
  </si>
  <si>
    <t>2 x 1</t>
  </si>
  <si>
    <t>Lot TU.6 PT (Tupemesa)</t>
  </si>
  <si>
    <t xml:space="preserve"> Equal Angles, Flat Bars, Round Bars, Square Bars</t>
  </si>
  <si>
    <t xml:space="preserve">●  Equal angles, flat bars, round bars, square bars in ASTM A36, A6 quality, grooved flat bars with thicknesses &lt; 5 mm can work with a rolling tolerance of 6%, the rest of the specification must comply with A6
</t>
  </si>
  <si>
    <t>● In length of 6.00 metres, (-0/+50 mm)</t>
  </si>
  <si>
    <t>● Container shipping</t>
  </si>
  <si>
    <t>Equal Angle</t>
  </si>
  <si>
    <t>1 1/2" x 1 1/2" x 3/32"</t>
  </si>
  <si>
    <t>1 1/2" x 1 1/2" x 1/8"</t>
  </si>
  <si>
    <t>3/4" x 2,5 mm</t>
  </si>
  <si>
    <t>25 x 25 x 2,5 mm</t>
  </si>
  <si>
    <t>25 x 25 x 3,0 mm</t>
  </si>
  <si>
    <t>Flat Bar</t>
  </si>
  <si>
    <t>1" x 1/8"</t>
  </si>
  <si>
    <t>2" x 1/8"</t>
  </si>
  <si>
    <t>1/2" x 1/8"</t>
  </si>
  <si>
    <t>Round Bar</t>
  </si>
  <si>
    <t>3/8"</t>
  </si>
  <si>
    <t>5/8"</t>
  </si>
  <si>
    <t>1/2"</t>
  </si>
  <si>
    <t>Square Bar</t>
  </si>
  <si>
    <t>9 x 9 mm</t>
  </si>
  <si>
    <t>12 x 12 mm</t>
  </si>
  <si>
    <t>Lot TU.5 PT (Tupemesa)</t>
  </si>
  <si>
    <t>Reinforcing Deformed Steel Bar</t>
  </si>
  <si>
    <t xml:space="preserve">●  Reinforcing Deformed Steel Bar in quality  ASTM A615 - G60.
</t>
  </si>
  <si>
    <t>● Prime Newly produced to avoid rust</t>
  </si>
  <si>
    <t>: TUPEMESA A615-G60    (1/2  -  3/8   -  5/8  -  12mm  -  6mm) the measure labeled as appropriate in inches for 1/2", 3/8", 5/8" or mm for 12mm and 6 mm</t>
  </si>
  <si>
    <t>● Minimun elasticity 17%; Max carbon 0.35%</t>
  </si>
  <si>
    <t>● Atmospheric (Air Cooling process) + Vanadium (V) Addition: 0.020-0.030%.</t>
  </si>
  <si>
    <t>● Marking:  TUPEMESA A615-G60    (1/2  -  3/8   -  5/8  -  12mm  -  6mm) the measure labeled as appropriate in inches for 1/2", 3/8", 5/8" or mm for 12mm and 6 mm</t>
  </si>
  <si>
    <t>● In length of 9.00 metres, (-0/+100 mm)</t>
  </si>
  <si>
    <t>SIZE (inches and mm)</t>
  </si>
  <si>
    <t>3/4"</t>
  </si>
  <si>
    <t>12mm</t>
  </si>
  <si>
    <t>8mm</t>
  </si>
  <si>
    <t>6mm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</si>
</sst>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 #,##0.00_);_([$€]\ * \(#,##0.00\);_([$€]\ * &quot;-&quot;??_);_(@_)"/>
    <numFmt numFmtId="179" formatCode="_-* #,##0.00_-;\-* #,##0.00_-;_-* &quot;-&quot;??_-;_-@_-"/>
    <numFmt numFmtId="180" formatCode="0.0"/>
    <numFmt numFmtId="181" formatCode="_-* #,##0.00\ _€_-;\-* #,##0.00\ _€_-;_-* &quot;-&quot;??\ _€_-;_-@_-"/>
    <numFmt numFmtId="182" formatCode="_ &quot;$&quot;* #,##0.00_ ;_ &quot;$&quot;* \-#,##0.00_ ;_ &quot;$&quot;* &quot;-&quot;??_ ;_ @_ "/>
    <numFmt numFmtId="183" formatCode="_-* #,##0_-;\-* #,##0_-;_-* &quot;-&quot;_-;_-@_-"/>
    <numFmt numFmtId="184" formatCode="_ * #,##0.00_ ;_ * \-#,##0.00_ ;_ * &quot;-&quot;_ ;_ @_ "/>
    <numFmt numFmtId="185" formatCode="#,##0.00_ ;[Red]\-#,##0.00\ "/>
  </numFmts>
  <fonts count="86">
    <font>
      <sz val="10"/>
      <name val="Arial"/>
      <charset val="134"/>
    </font>
    <font>
      <b/>
      <sz val="8"/>
      <name val="Garamond"/>
      <charset val="134"/>
    </font>
    <font>
      <sz val="8"/>
      <name val="Garamond"/>
      <charset val="134"/>
    </font>
    <font>
      <sz val="10"/>
      <name val="Garamond"/>
      <charset val="134"/>
    </font>
    <font>
      <b/>
      <i/>
      <sz val="8"/>
      <color rgb="FFFF0000"/>
      <name val="Garamond"/>
      <charset val="134"/>
    </font>
    <font>
      <b/>
      <sz val="8"/>
      <color theme="0"/>
      <name val="Garamond"/>
      <charset val="134"/>
    </font>
    <font>
      <u/>
      <sz val="8"/>
      <name val="Garamond"/>
      <charset val="134"/>
    </font>
    <font>
      <u/>
      <sz val="10"/>
      <name val="Garamond"/>
      <charset val="134"/>
    </font>
    <font>
      <b/>
      <sz val="10"/>
      <name val="Garamond"/>
      <charset val="134"/>
    </font>
    <font>
      <sz val="8"/>
      <color rgb="FFFF0000"/>
      <name val="Garamond"/>
      <charset val="134"/>
    </font>
    <font>
      <b/>
      <sz val="10"/>
      <color theme="0"/>
      <name val="Garamond"/>
      <charset val="134"/>
    </font>
    <font>
      <b/>
      <sz val="8"/>
      <color rgb="FF002060"/>
      <name val="Garamond"/>
      <charset val="134"/>
    </font>
    <font>
      <b/>
      <sz val="10"/>
      <color rgb="FF002060"/>
      <name val="Garamond"/>
      <charset val="134"/>
    </font>
    <font>
      <sz val="9"/>
      <name val="Garamond"/>
      <charset val="134"/>
    </font>
    <font>
      <b/>
      <sz val="10"/>
      <color theme="1"/>
      <name val="Garamond"/>
      <charset val="134"/>
    </font>
    <font>
      <b/>
      <sz val="8"/>
      <color theme="9" tint="-0.249977111117893"/>
      <name val="Garamond"/>
      <charset val="134"/>
    </font>
    <font>
      <sz val="11"/>
      <name val="Garamond"/>
      <charset val="134"/>
    </font>
    <font>
      <sz val="8.5"/>
      <color rgb="FF000000"/>
      <name val="Garamond"/>
      <charset val="134"/>
    </font>
    <font>
      <b/>
      <sz val="12"/>
      <name val="Garamond"/>
      <charset val="134"/>
    </font>
    <font>
      <sz val="8"/>
      <color rgb="FF222222"/>
      <name val="Arial"/>
      <charset val="134"/>
    </font>
    <font>
      <b/>
      <sz val="9"/>
      <name val="Garamond"/>
      <charset val="134"/>
    </font>
    <font>
      <sz val="8"/>
      <name val="Arial"/>
      <charset val="134"/>
    </font>
    <font>
      <b/>
      <sz val="8"/>
      <name val="Arial"/>
      <charset val="134"/>
    </font>
    <font>
      <b/>
      <sz val="11"/>
      <color rgb="FF000000"/>
      <name val="Calibri"/>
      <charset val="134"/>
    </font>
    <font>
      <b/>
      <sz val="8"/>
      <color rgb="FFFF0000"/>
      <name val="Garamond"/>
      <charset val="134"/>
    </font>
    <font>
      <b/>
      <sz val="8"/>
      <color rgb="FF0070C0"/>
      <name val="Garamond"/>
      <charset val="134"/>
    </font>
    <font>
      <b/>
      <sz val="8"/>
      <color indexed="60"/>
      <name val="Garamond"/>
      <charset val="134"/>
    </font>
    <font>
      <sz val="8"/>
      <color indexed="60"/>
      <name val="Garamond"/>
      <charset val="134"/>
    </font>
    <font>
      <sz val="10"/>
      <color rgb="FF000000"/>
      <name val="Garamond"/>
      <charset val="134"/>
    </font>
    <font>
      <b/>
      <sz val="9"/>
      <color rgb="FFFFFFFF"/>
      <name val="Garamond"/>
      <charset val="134"/>
    </font>
    <font>
      <sz val="10"/>
      <name val="Times New Roman"/>
      <charset val="134"/>
    </font>
    <font>
      <b/>
      <sz val="9"/>
      <color rgb="FF000000"/>
      <name val="Garamond"/>
      <charset val="134"/>
    </font>
    <font>
      <u/>
      <sz val="9"/>
      <color rgb="FF000000"/>
      <name val="Garamond"/>
      <charset val="134"/>
    </font>
    <font>
      <sz val="9"/>
      <color rgb="FF000000"/>
      <name val="Garamond"/>
      <charset val="134"/>
    </font>
    <font>
      <b/>
      <sz val="10"/>
      <color theme="0"/>
      <name val="等线"/>
      <charset val="134"/>
      <scheme val="minor"/>
    </font>
    <font>
      <sz val="10"/>
      <color theme="1"/>
      <name val="等线"/>
      <charset val="134"/>
      <scheme val="minor"/>
    </font>
    <font>
      <b/>
      <i/>
      <u/>
      <sz val="8"/>
      <color indexed="10"/>
      <name val="Garamond"/>
      <charset val="134"/>
    </font>
    <font>
      <sz val="8"/>
      <color theme="1"/>
      <name val="Garamond"/>
      <charset val="134"/>
    </font>
    <font>
      <b/>
      <sz val="8"/>
      <color indexed="10"/>
      <name val="Garamond"/>
      <charset val="134"/>
    </font>
    <font>
      <b/>
      <sz val="10"/>
      <name val="Arial"/>
      <charset val="134"/>
    </font>
    <font>
      <sz val="12"/>
      <color rgb="FF000000"/>
      <name val="Aptos"/>
      <charset val="134"/>
    </font>
    <font>
      <sz val="10"/>
      <color rgb="FFFF0000"/>
      <name val="Arial"/>
      <charset val="134"/>
    </font>
    <font>
      <b/>
      <sz val="9"/>
      <color theme="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Calibri"/>
      <charset val="134"/>
    </font>
    <font>
      <sz val="11"/>
      <color indexed="9"/>
      <name val="Calibri"/>
      <charset val="134"/>
    </font>
    <font>
      <sz val="11"/>
      <color indexed="17"/>
      <name val="Calibri"/>
      <charset val="134"/>
    </font>
    <font>
      <b/>
      <sz val="11"/>
      <color indexed="52"/>
      <name val="Calibri"/>
      <charset val="134"/>
    </font>
    <font>
      <b/>
      <sz val="11"/>
      <color indexed="9"/>
      <name val="Calibri"/>
      <charset val="134"/>
    </font>
    <font>
      <sz val="11"/>
      <color indexed="52"/>
      <name val="Calibri"/>
      <charset val="134"/>
    </font>
    <font>
      <b/>
      <sz val="11"/>
      <color indexed="56"/>
      <name val="Calibri"/>
      <charset val="134"/>
    </font>
    <font>
      <sz val="11"/>
      <color indexed="62"/>
      <name val="Calibri"/>
      <charset val="134"/>
    </font>
    <font>
      <u/>
      <sz val="11"/>
      <color theme="10"/>
      <name val="Calibri"/>
      <charset val="134"/>
    </font>
    <font>
      <sz val="11"/>
      <color indexed="20"/>
      <name val="Calibri"/>
      <charset val="134"/>
    </font>
    <font>
      <sz val="10"/>
      <color theme="1"/>
      <name val="Tahoma"/>
      <charset val="134"/>
    </font>
    <font>
      <sz val="11"/>
      <color indexed="60"/>
      <name val="Calibri"/>
      <charset val="134"/>
    </font>
    <font>
      <b/>
      <sz val="11"/>
      <color indexed="63"/>
      <name val="Calibri"/>
      <charset val="134"/>
    </font>
    <font>
      <sz val="11"/>
      <color indexed="10"/>
      <name val="Calibri"/>
      <charset val="134"/>
    </font>
    <font>
      <i/>
      <sz val="11"/>
      <color indexed="23"/>
      <name val="Calibri"/>
      <charset val="134"/>
    </font>
    <font>
      <b/>
      <sz val="15"/>
      <color indexed="56"/>
      <name val="Calibri"/>
      <charset val="134"/>
    </font>
    <font>
      <b/>
      <sz val="13"/>
      <color indexed="56"/>
      <name val="Calibri"/>
      <charset val="134"/>
    </font>
    <font>
      <b/>
      <sz val="18"/>
      <color indexed="56"/>
      <name val="Cambria"/>
      <charset val="134"/>
    </font>
    <font>
      <b/>
      <sz val="11"/>
      <color indexed="8"/>
      <name val="Calibri"/>
      <charset val="134"/>
    </font>
    <font>
      <sz val="11"/>
      <color theme="1"/>
      <name val="等线"/>
      <charset val="129"/>
      <scheme val="minor"/>
    </font>
    <font>
      <sz val="10"/>
      <name val="ＭＳ ゴシック"/>
      <charset val="128"/>
    </font>
    <font>
      <b/>
      <sz val="8"/>
      <color indexed="12"/>
      <name val="Garamond"/>
      <charset val="134"/>
    </font>
    <font>
      <b/>
      <sz val="11"/>
      <name val="Garamond"/>
      <charset val="134"/>
    </font>
  </fonts>
  <fills count="63">
    <fill>
      <patternFill patternType="none"/>
    </fill>
    <fill>
      <patternFill patternType="gray125"/>
    </fill>
    <fill>
      <patternFill patternType="solid">
        <fgColor indexed="9"/>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00"/>
        <bgColor indexed="64"/>
      </patternFill>
    </fill>
    <fill>
      <patternFill patternType="solid">
        <fgColor theme="6" tint="0.399975585192419"/>
        <bgColor indexed="64"/>
      </patternFill>
    </fill>
    <fill>
      <patternFill patternType="solid">
        <fgColor theme="7"/>
        <bgColor indexed="64"/>
      </patternFill>
    </fill>
    <fill>
      <patternFill patternType="solid">
        <fgColor theme="5"/>
        <bgColor indexed="64"/>
      </patternFill>
    </fill>
    <fill>
      <patternFill patternType="solid">
        <fgColor theme="5" tint="-0.249977111117893"/>
        <bgColor indexed="64"/>
      </patternFill>
    </fill>
    <fill>
      <patternFill patternType="solid">
        <fgColor theme="2" tint="-0.0999786370433668"/>
        <bgColor indexed="64"/>
      </patternFill>
    </fill>
    <fill>
      <patternFill patternType="solid">
        <fgColor theme="7" tint="0.599993896298105"/>
        <bgColor indexed="64"/>
      </patternFill>
    </fill>
    <fill>
      <patternFill patternType="solid">
        <fgColor rgb="FFC00000"/>
        <bgColor indexed="64"/>
      </patternFill>
    </fill>
    <fill>
      <patternFill patternType="solid">
        <fgColor theme="5" tint="0.599993896298105"/>
        <bgColor indexed="64"/>
      </patternFill>
    </fill>
    <fill>
      <patternFill patternType="solid">
        <fgColor theme="3"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22"/>
        <bgColor indexed="64"/>
      </patternFill>
    </fill>
    <fill>
      <patternFill patternType="solid">
        <fgColor indexed="55"/>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34">
    <border>
      <left/>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style="double">
        <color auto="1"/>
      </left>
      <right style="double">
        <color auto="1"/>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bottom style="double">
        <color auto="1"/>
      </bottom>
      <diagonal/>
    </border>
    <border>
      <left/>
      <right style="double">
        <color auto="1"/>
      </right>
      <top/>
      <bottom style="double">
        <color auto="1"/>
      </bottom>
      <diagonal/>
    </border>
    <border>
      <left style="double">
        <color rgb="FF000000"/>
      </left>
      <right style="double">
        <color rgb="FF000000"/>
      </right>
      <top style="double">
        <color rgb="FF000000"/>
      </top>
      <bottom style="double">
        <color rgb="FF000000"/>
      </bottom>
      <diagonal/>
    </border>
    <border>
      <left/>
      <right style="double">
        <color rgb="FF000000"/>
      </right>
      <top style="double">
        <color rgb="FF000000"/>
      </top>
      <bottom style="double">
        <color rgb="FF000000"/>
      </bottom>
      <diagonal/>
    </border>
    <border>
      <left style="double">
        <color rgb="FF000000"/>
      </left>
      <right style="double">
        <color rgb="FF000000"/>
      </right>
      <top/>
      <bottom style="double">
        <color rgb="FF000000"/>
      </bottom>
      <diagonal/>
    </border>
    <border>
      <left/>
      <right style="double">
        <color rgb="FF000000"/>
      </right>
      <top/>
      <bottom style="double">
        <color rgb="FF000000"/>
      </bottom>
      <diagonal/>
    </border>
    <border>
      <left style="thin">
        <color auto="1"/>
      </left>
      <right style="thin">
        <color auto="1"/>
      </right>
      <top style="thin">
        <color auto="1"/>
      </top>
      <bottom style="thin">
        <color auto="1"/>
      </bottom>
      <diagonal/>
    </border>
    <border>
      <left style="double">
        <color auto="1"/>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right/>
      <top/>
      <bottom style="double">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115">
    <xf numFmtId="0" fontId="0" fillId="0" borderId="0"/>
    <xf numFmtId="176" fontId="43" fillId="0" borderId="0" applyFont="0" applyFill="0" applyBorder="0" applyAlignment="0" applyProtection="0">
      <alignment vertical="center"/>
    </xf>
    <xf numFmtId="44" fontId="43" fillId="0" borderId="0" applyFont="0" applyFill="0" applyBorder="0" applyAlignment="0" applyProtection="0">
      <alignment vertical="center"/>
    </xf>
    <xf numFmtId="9" fontId="43" fillId="0" borderId="0" applyFont="0" applyFill="0" applyBorder="0" applyAlignment="0" applyProtection="0">
      <alignment vertical="center"/>
    </xf>
    <xf numFmtId="177" fontId="0" fillId="0" borderId="0" applyFont="0" applyFill="0" applyBorder="0" applyAlignment="0" applyProtection="0"/>
    <xf numFmtId="42" fontId="43"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3" fillId="15" borderId="17"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0" fillId="0" borderId="18" applyNumberFormat="0" applyFill="0" applyAlignment="0" applyProtection="0">
      <alignment vertical="center"/>
    </xf>
    <xf numFmtId="0" fontId="51" fillId="0" borderId="19" applyNumberFormat="0" applyFill="0" applyAlignment="0" applyProtection="0">
      <alignment vertical="center"/>
    </xf>
    <xf numFmtId="0" fontId="51" fillId="0" borderId="0" applyNumberFormat="0" applyFill="0" applyBorder="0" applyAlignment="0" applyProtection="0">
      <alignment vertical="center"/>
    </xf>
    <xf numFmtId="0" fontId="52" fillId="16" borderId="20" applyNumberFormat="0" applyAlignment="0" applyProtection="0">
      <alignment vertical="center"/>
    </xf>
    <xf numFmtId="0" fontId="53" fillId="17" borderId="21" applyNumberFormat="0" applyAlignment="0" applyProtection="0">
      <alignment vertical="center"/>
    </xf>
    <xf numFmtId="0" fontId="54" fillId="17" borderId="20" applyNumberFormat="0" applyAlignment="0" applyProtection="0">
      <alignment vertical="center"/>
    </xf>
    <xf numFmtId="0" fontId="55" fillId="18" borderId="22" applyNumberFormat="0" applyAlignment="0" applyProtection="0">
      <alignment vertical="center"/>
    </xf>
    <xf numFmtId="0" fontId="56" fillId="0" borderId="23" applyNumberFormat="0" applyFill="0" applyAlignment="0" applyProtection="0">
      <alignment vertical="center"/>
    </xf>
    <xf numFmtId="0" fontId="57" fillId="0" borderId="24" applyNumberFormat="0" applyFill="0" applyAlignment="0" applyProtection="0">
      <alignment vertical="center"/>
    </xf>
    <xf numFmtId="0" fontId="58" fillId="19" borderId="0" applyNumberFormat="0" applyBorder="0" applyAlignment="0" applyProtection="0">
      <alignment vertical="center"/>
    </xf>
    <xf numFmtId="0" fontId="59" fillId="20" borderId="0" applyNumberFormat="0" applyBorder="0" applyAlignment="0" applyProtection="0">
      <alignment vertical="center"/>
    </xf>
    <xf numFmtId="0" fontId="60" fillId="21" borderId="0" applyNumberFormat="0" applyBorder="0" applyAlignment="0" applyProtection="0">
      <alignment vertical="center"/>
    </xf>
    <xf numFmtId="0" fontId="61"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1" fillId="25" borderId="0" applyNumberFormat="0" applyBorder="0" applyAlignment="0" applyProtection="0">
      <alignment vertical="center"/>
    </xf>
    <xf numFmtId="0" fontId="61" fillId="8" borderId="0" applyNumberFormat="0" applyBorder="0" applyAlignment="0" applyProtection="0">
      <alignment vertical="center"/>
    </xf>
    <xf numFmtId="0" fontId="62" fillId="26" borderId="0" applyNumberFormat="0" applyBorder="0" applyAlignment="0" applyProtection="0">
      <alignment vertical="center"/>
    </xf>
    <xf numFmtId="0" fontId="62" fillId="13"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2" fillId="29" borderId="0" applyNumberFormat="0" applyBorder="0" applyAlignment="0" applyProtection="0">
      <alignment vertical="center"/>
    </xf>
    <xf numFmtId="0" fontId="62" fillId="30" borderId="0" applyNumberFormat="0" applyBorder="0" applyAlignment="0" applyProtection="0">
      <alignment vertical="center"/>
    </xf>
    <xf numFmtId="0" fontId="61" fillId="6" borderId="0" applyNumberFormat="0" applyBorder="0" applyAlignment="0" applyProtection="0">
      <alignment vertical="center"/>
    </xf>
    <xf numFmtId="0" fontId="61" fillId="7" borderId="0" applyNumberFormat="0" applyBorder="0" applyAlignment="0" applyProtection="0">
      <alignment vertical="center"/>
    </xf>
    <xf numFmtId="0" fontId="62" fillId="31" borderId="0" applyNumberFormat="0" applyBorder="0" applyAlignment="0" applyProtection="0">
      <alignment vertical="center"/>
    </xf>
    <xf numFmtId="0" fontId="62" fillId="11" borderId="0" applyNumberFormat="0" applyBorder="0" applyAlignment="0" applyProtection="0">
      <alignment vertical="center"/>
    </xf>
    <xf numFmtId="0" fontId="61"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1" fillId="36" borderId="0" applyNumberFormat="0" applyBorder="0" applyAlignment="0" applyProtection="0">
      <alignment vertical="center"/>
    </xf>
    <xf numFmtId="0" fontId="61" fillId="37" borderId="0" applyNumberFormat="0" applyBorder="0" applyAlignment="0" applyProtection="0">
      <alignment vertical="center"/>
    </xf>
    <xf numFmtId="0" fontId="62" fillId="38" borderId="0" applyNumberFormat="0" applyBorder="0" applyAlignment="0" applyProtection="0">
      <alignment vertical="center"/>
    </xf>
    <xf numFmtId="0" fontId="62" fillId="39" borderId="0" applyNumberFormat="0" applyBorder="0" applyAlignment="0" applyProtection="0">
      <alignment vertical="center"/>
    </xf>
    <xf numFmtId="0" fontId="61" fillId="40" borderId="0" applyNumberFormat="0" applyBorder="0" applyAlignment="0" applyProtection="0">
      <alignment vertical="center"/>
    </xf>
    <xf numFmtId="0" fontId="63" fillId="41" borderId="0" applyNumberFormat="0" applyBorder="0" applyAlignment="0" applyProtection="0"/>
    <xf numFmtId="0" fontId="63" fillId="42" borderId="0" applyNumberFormat="0" applyBorder="0" applyAlignment="0" applyProtection="0"/>
    <xf numFmtId="0" fontId="63" fillId="43" borderId="0" applyNumberFormat="0" applyBorder="0" applyAlignment="0" applyProtection="0"/>
    <xf numFmtId="0" fontId="63" fillId="44" borderId="0" applyNumberFormat="0" applyBorder="0" applyAlignment="0" applyProtection="0"/>
    <xf numFmtId="0" fontId="63" fillId="45" borderId="0" applyNumberFormat="0" applyBorder="0" applyAlignment="0" applyProtection="0"/>
    <xf numFmtId="0" fontId="63" fillId="46" borderId="0" applyNumberFormat="0" applyBorder="0" applyAlignment="0" applyProtection="0"/>
    <xf numFmtId="0" fontId="63" fillId="47" borderId="0" applyNumberFormat="0" applyBorder="0" applyAlignment="0" applyProtection="0"/>
    <xf numFmtId="0" fontId="63" fillId="48" borderId="0" applyNumberFormat="0" applyBorder="0" applyAlignment="0" applyProtection="0"/>
    <xf numFmtId="0" fontId="63" fillId="49" borderId="0" applyNumberFormat="0" applyBorder="0" applyAlignment="0" applyProtection="0"/>
    <xf numFmtId="0" fontId="63" fillId="50" borderId="0" applyNumberFormat="0" applyBorder="0" applyAlignment="0" applyProtection="0"/>
    <xf numFmtId="0" fontId="64" fillId="51" borderId="0" applyNumberFormat="0" applyBorder="0" applyAlignment="0" applyProtection="0"/>
    <xf numFmtId="0" fontId="64" fillId="48" borderId="0" applyNumberFormat="0" applyBorder="0" applyAlignment="0" applyProtection="0"/>
    <xf numFmtId="0" fontId="64" fillId="49" borderId="0" applyNumberFormat="0" applyBorder="0" applyAlignment="0" applyProtection="0"/>
    <xf numFmtId="0" fontId="64" fillId="52" borderId="0" applyNumberFormat="0" applyBorder="0" applyAlignment="0" applyProtection="0"/>
    <xf numFmtId="0" fontId="64" fillId="53" borderId="0" applyNumberFormat="0" applyBorder="0" applyAlignment="0" applyProtection="0"/>
    <xf numFmtId="0" fontId="64" fillId="54" borderId="0" applyNumberFormat="0" applyBorder="0" applyAlignment="0" applyProtection="0"/>
    <xf numFmtId="0" fontId="64" fillId="55" borderId="0" applyNumberFormat="0" applyBorder="0" applyAlignment="0" applyProtection="0"/>
    <xf numFmtId="0" fontId="0" fillId="0" borderId="0" applyNumberFormat="0" applyFill="0" applyBorder="0" applyAlignment="0" applyProtection="0"/>
    <xf numFmtId="0" fontId="65" fillId="43" borderId="0" applyNumberFormat="0" applyBorder="0" applyAlignment="0" applyProtection="0"/>
    <xf numFmtId="0" fontId="66" fillId="56" borderId="25" applyNumberFormat="0" applyAlignment="0" applyProtection="0"/>
    <xf numFmtId="0" fontId="67" fillId="57" borderId="26" applyNumberFormat="0" applyAlignment="0" applyProtection="0"/>
    <xf numFmtId="0" fontId="68" fillId="0" borderId="27" applyNumberFormat="0" applyFill="0" applyAlignment="0" applyProtection="0"/>
    <xf numFmtId="0" fontId="0" fillId="0" borderId="0" applyFill="0" applyBorder="0"/>
    <xf numFmtId="0" fontId="69" fillId="0" borderId="0" applyNumberFormat="0" applyFill="0" applyBorder="0" applyAlignment="0" applyProtection="0"/>
    <xf numFmtId="0" fontId="64" fillId="58" borderId="0" applyNumberFormat="0" applyBorder="0" applyAlignment="0" applyProtection="0"/>
    <xf numFmtId="0" fontId="64" fillId="59" borderId="0" applyNumberFormat="0" applyBorder="0" applyAlignment="0" applyProtection="0"/>
    <xf numFmtId="0" fontId="64" fillId="60" borderId="0" applyNumberFormat="0" applyBorder="0" applyAlignment="0" applyProtection="0"/>
    <xf numFmtId="0" fontId="70" fillId="46" borderId="25" applyNumberFormat="0" applyAlignment="0" applyProtection="0"/>
    <xf numFmtId="178" fontId="0" fillId="0" borderId="0" applyFont="0" applyFill="0" applyBorder="0" applyAlignment="0" applyProtection="0"/>
    <xf numFmtId="0" fontId="71" fillId="0" borderId="0" applyNumberFormat="0" applyFill="0" applyBorder="0" applyAlignment="0" applyProtection="0">
      <alignment vertical="top"/>
      <protection locked="0"/>
    </xf>
    <xf numFmtId="0" fontId="72" fillId="42" borderId="0" applyNumberFormat="0" applyBorder="0" applyAlignment="0" applyProtection="0"/>
    <xf numFmtId="177" fontId="0" fillId="0" borderId="0" applyFont="0" applyFill="0" applyBorder="0" applyAlignment="0" applyProtection="0"/>
    <xf numFmtId="177" fontId="43" fillId="0" borderId="0" applyFont="0" applyFill="0" applyBorder="0" applyAlignment="0" applyProtection="0"/>
    <xf numFmtId="177" fontId="0" fillId="0" borderId="0" applyFont="0" applyFill="0" applyBorder="0" applyAlignment="0" applyProtection="0"/>
    <xf numFmtId="176" fontId="43" fillId="0" borderId="0" applyFont="0" applyFill="0" applyBorder="0" applyAlignment="0" applyProtection="0"/>
    <xf numFmtId="179" fontId="0" fillId="0" borderId="0" applyFont="0" applyFill="0" applyBorder="0" applyAlignment="0" applyProtection="0"/>
    <xf numFmtId="179" fontId="73" fillId="0" borderId="0" applyFont="0" applyFill="0" applyBorder="0" applyAlignment="0" applyProtection="0"/>
    <xf numFmtId="180" fontId="0" fillId="0" borderId="0" applyFont="0" applyFill="0" applyBorder="0" applyAlignment="0" applyProtection="0"/>
    <xf numFmtId="181" fontId="43" fillId="0" borderId="0" applyFont="0" applyFill="0" applyBorder="0" applyAlignment="0" applyProtection="0"/>
    <xf numFmtId="182" fontId="0" fillId="0" borderId="0" applyFont="0" applyFill="0" applyBorder="0" applyAlignment="0" applyProtection="0"/>
    <xf numFmtId="0" fontId="74" fillId="61" borderId="0" applyNumberFormat="0" applyBorder="0" applyAlignment="0" applyProtection="0"/>
    <xf numFmtId="0" fontId="43" fillId="0" borderId="0"/>
    <xf numFmtId="0" fontId="0" fillId="0" borderId="0"/>
    <xf numFmtId="0" fontId="0" fillId="0" borderId="0"/>
    <xf numFmtId="0" fontId="73" fillId="0" borderId="0"/>
    <xf numFmtId="178" fontId="0" fillId="0" borderId="0"/>
    <xf numFmtId="0" fontId="43" fillId="0" borderId="0">
      <alignment vertical="center"/>
    </xf>
    <xf numFmtId="0" fontId="43" fillId="0" borderId="0"/>
    <xf numFmtId="0" fontId="0" fillId="62" borderId="28" applyNumberFormat="0" applyFont="0" applyAlignment="0" applyProtection="0"/>
    <xf numFmtId="9" fontId="0" fillId="0" borderId="0" applyFont="0" applyFill="0" applyBorder="0" applyAlignment="0" applyProtection="0"/>
    <xf numFmtId="9" fontId="43" fillId="0" borderId="0" applyFont="0" applyFill="0" applyBorder="0" applyAlignment="0" applyProtection="0"/>
    <xf numFmtId="0" fontId="75" fillId="56" borderId="29" applyNumberFormat="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8" fillId="0" borderId="30" applyNumberFormat="0" applyFill="0" applyAlignment="0" applyProtection="0"/>
    <xf numFmtId="0" fontId="79" fillId="0" borderId="31" applyNumberFormat="0" applyFill="0" applyAlignment="0" applyProtection="0"/>
    <xf numFmtId="0" fontId="69" fillId="0" borderId="32" applyNumberFormat="0" applyFill="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81" fillId="0" borderId="33" applyNumberFormat="0" applyFill="0" applyAlignment="0" applyProtection="0"/>
    <xf numFmtId="183" fontId="0" fillId="0" borderId="0" applyFont="0" applyFill="0" applyBorder="0" applyAlignment="0" applyProtection="0">
      <alignment vertical="center"/>
    </xf>
    <xf numFmtId="183" fontId="82" fillId="0" borderId="0" applyFont="0" applyFill="0" applyBorder="0" applyAlignment="0" applyProtection="0">
      <alignment vertical="center"/>
    </xf>
    <xf numFmtId="0" fontId="82" fillId="0" borderId="0">
      <alignment vertical="center"/>
    </xf>
    <xf numFmtId="0" fontId="82" fillId="0" borderId="0">
      <alignment vertical="center"/>
    </xf>
    <xf numFmtId="0" fontId="83" fillId="0" borderId="0"/>
    <xf numFmtId="178" fontId="63" fillId="0" borderId="0" applyFont="0" applyFill="0" applyBorder="0" applyAlignment="0" applyProtection="0">
      <alignment vertical="center"/>
    </xf>
  </cellStyleXfs>
  <cellXfs count="227">
    <xf numFmtId="0" fontId="0" fillId="0" borderId="0" xfId="0"/>
    <xf numFmtId="0" fontId="1" fillId="0" borderId="0" xfId="91" applyFont="1"/>
    <xf numFmtId="0" fontId="2" fillId="0" borderId="0" xfId="91" applyFont="1"/>
    <xf numFmtId="0" fontId="2" fillId="0" borderId="0" xfId="91" applyFont="1" applyAlignment="1">
      <alignment horizontal="center"/>
    </xf>
    <xf numFmtId="0" fontId="3" fillId="0" borderId="0" xfId="91" applyFont="1" applyAlignment="1">
      <alignment horizontal="center"/>
    </xf>
    <xf numFmtId="0" fontId="1" fillId="2" borderId="0" xfId="91" applyFont="1" applyFill="1" applyAlignment="1">
      <alignment horizontal="center"/>
    </xf>
    <xf numFmtId="0" fontId="2" fillId="2" borderId="0" xfId="91" applyFont="1" applyFill="1" applyAlignment="1">
      <alignment horizontal="center"/>
    </xf>
    <xf numFmtId="0" fontId="3" fillId="2" borderId="0" xfId="91" applyFont="1" applyFill="1" applyAlignment="1">
      <alignment horizontal="center"/>
    </xf>
    <xf numFmtId="0" fontId="2" fillId="0" borderId="0" xfId="91" applyFont="1" applyAlignment="1">
      <alignment horizontal="right"/>
    </xf>
    <xf numFmtId="0" fontId="4" fillId="0" borderId="0" xfId="91" applyFont="1"/>
    <xf numFmtId="0" fontId="2" fillId="2" borderId="0" xfId="91" applyFont="1" applyFill="1"/>
    <xf numFmtId="0" fontId="5" fillId="3" borderId="1" xfId="91" applyFont="1" applyFill="1" applyBorder="1"/>
    <xf numFmtId="0" fontId="5" fillId="3" borderId="2" xfId="91" applyFont="1" applyFill="1" applyBorder="1" applyAlignment="1">
      <alignment horizontal="center"/>
    </xf>
    <xf numFmtId="0" fontId="3" fillId="0" borderId="0" xfId="91" applyFont="1"/>
    <xf numFmtId="0" fontId="6" fillId="2" borderId="0" xfId="91" applyFont="1" applyFill="1"/>
    <xf numFmtId="0" fontId="7" fillId="2" borderId="0" xfId="91" applyFont="1" applyFill="1"/>
    <xf numFmtId="0" fontId="2" fillId="2" borderId="0" xfId="91" applyFont="1" applyFill="1" applyAlignment="1">
      <alignment horizontal="left"/>
    </xf>
    <xf numFmtId="0" fontId="3" fillId="2" borderId="0" xfId="91" applyFont="1" applyFill="1" applyAlignment="1">
      <alignment horizontal="left"/>
    </xf>
    <xf numFmtId="0" fontId="2" fillId="2" borderId="0" xfId="91" applyFont="1" applyFill="1" applyAlignment="1">
      <alignment horizontal="left" vertical="center" wrapText="1"/>
    </xf>
    <xf numFmtId="0" fontId="2" fillId="2" borderId="0" xfId="91" applyFont="1" applyFill="1" applyAlignment="1">
      <alignment horizontal="left" vertical="center"/>
    </xf>
    <xf numFmtId="0" fontId="3" fillId="2" borderId="0" xfId="91" applyFont="1" applyFill="1" applyAlignment="1">
      <alignment horizontal="left" vertical="center"/>
    </xf>
    <xf numFmtId="0" fontId="2" fillId="0" borderId="3" xfId="91" applyFont="1" applyBorder="1" applyAlignment="1">
      <alignment horizontal="center"/>
    </xf>
    <xf numFmtId="0" fontId="2" fillId="0" borderId="1" xfId="91" applyFont="1" applyBorder="1" applyAlignment="1">
      <alignment horizontal="center"/>
    </xf>
    <xf numFmtId="0" fontId="2" fillId="0" borderId="2" xfId="91" applyFont="1" applyBorder="1" applyAlignment="1">
      <alignment horizontal="center"/>
    </xf>
    <xf numFmtId="0" fontId="2" fillId="0" borderId="4" xfId="91" applyFont="1" applyBorder="1" applyAlignment="1">
      <alignment horizontal="center"/>
    </xf>
    <xf numFmtId="0" fontId="3" fillId="0" borderId="3" xfId="91" applyFont="1" applyBorder="1" applyAlignment="1">
      <alignment horizontal="center"/>
    </xf>
    <xf numFmtId="1" fontId="8" fillId="0" borderId="3" xfId="91" applyNumberFormat="1" applyFont="1" applyBorder="1" applyAlignment="1">
      <alignment horizontal="center"/>
    </xf>
    <xf numFmtId="0" fontId="8" fillId="0" borderId="0" xfId="91" applyFont="1" applyAlignment="1">
      <alignment horizontal="center"/>
    </xf>
    <xf numFmtId="0" fontId="2" fillId="4" borderId="0" xfId="91" applyFont="1" applyFill="1" applyAlignment="1">
      <alignment horizontal="center"/>
    </xf>
    <xf numFmtId="0" fontId="2" fillId="4" borderId="0" xfId="91" applyFont="1" applyFill="1"/>
    <xf numFmtId="0" fontId="3" fillId="4" borderId="0" xfId="91" applyFont="1" applyFill="1"/>
    <xf numFmtId="0" fontId="2" fillId="4" borderId="0" xfId="91" applyFont="1" applyFill="1" applyAlignment="1">
      <alignment vertical="top"/>
    </xf>
    <xf numFmtId="0" fontId="3" fillId="4" borderId="0" xfId="91" applyFont="1" applyFill="1" applyAlignment="1">
      <alignment vertical="top"/>
    </xf>
    <xf numFmtId="0" fontId="2" fillId="5" borderId="0" xfId="91" applyFont="1" applyFill="1" applyAlignment="1">
      <alignment vertical="top"/>
    </xf>
    <xf numFmtId="0" fontId="3" fillId="0" borderId="4" xfId="91" applyFont="1" applyBorder="1" applyAlignment="1">
      <alignment horizontal="center"/>
    </xf>
    <xf numFmtId="0" fontId="2" fillId="0" borderId="5" xfId="91" applyFont="1" applyBorder="1" applyAlignment="1">
      <alignment horizontal="center"/>
    </xf>
    <xf numFmtId="0" fontId="3" fillId="0" borderId="6" xfId="91" applyFont="1" applyBorder="1" applyAlignment="1">
      <alignment horizontal="center"/>
    </xf>
    <xf numFmtId="2" fontId="2" fillId="0" borderId="5" xfId="91" applyNumberFormat="1" applyFont="1" applyBorder="1" applyAlignment="1">
      <alignment horizontal="center"/>
    </xf>
    <xf numFmtId="0" fontId="8" fillId="0" borderId="6" xfId="91" applyFont="1" applyBorder="1" applyAlignment="1">
      <alignment horizontal="center"/>
    </xf>
    <xf numFmtId="2" fontId="9" fillId="0" borderId="5" xfId="91" applyNumberFormat="1" applyFont="1" applyBorder="1" applyAlignment="1">
      <alignment horizontal="center"/>
    </xf>
    <xf numFmtId="0" fontId="8" fillId="0" borderId="3" xfId="91" applyFont="1" applyBorder="1" applyAlignment="1">
      <alignment horizontal="center"/>
    </xf>
    <xf numFmtId="1" fontId="8" fillId="0" borderId="0" xfId="91" applyNumberFormat="1" applyFont="1" applyAlignment="1">
      <alignment horizontal="center"/>
    </xf>
    <xf numFmtId="0" fontId="10" fillId="3" borderId="1" xfId="91" applyFont="1" applyFill="1" applyBorder="1"/>
    <xf numFmtId="0" fontId="10" fillId="3" borderId="2" xfId="91" applyFont="1" applyFill="1" applyBorder="1" applyAlignment="1">
      <alignment horizontal="center"/>
    </xf>
    <xf numFmtId="0" fontId="10" fillId="3" borderId="4" xfId="91" applyFont="1" applyFill="1" applyBorder="1" applyAlignment="1">
      <alignment horizontal="center"/>
    </xf>
    <xf numFmtId="0" fontId="11" fillId="2" borderId="0" xfId="91" applyFont="1" applyFill="1"/>
    <xf numFmtId="0" fontId="11" fillId="4" borderId="0" xfId="91" applyFont="1" applyFill="1" applyAlignment="1">
      <alignment horizontal="center"/>
    </xf>
    <xf numFmtId="0" fontId="12" fillId="0" borderId="0" xfId="91" applyFont="1"/>
    <xf numFmtId="0" fontId="2" fillId="5" borderId="0" xfId="91" applyFont="1" applyFill="1"/>
    <xf numFmtId="0" fontId="3" fillId="0" borderId="7" xfId="91" applyFont="1" applyBorder="1" applyAlignment="1">
      <alignment horizontal="center" vertical="center" wrapText="1"/>
    </xf>
    <xf numFmtId="0" fontId="3" fillId="0" borderId="8" xfId="91" applyFont="1" applyBorder="1" applyAlignment="1">
      <alignment horizontal="center" vertical="center" wrapText="1"/>
    </xf>
    <xf numFmtId="0" fontId="3" fillId="0" borderId="9" xfId="91" applyFont="1" applyBorder="1" applyAlignment="1">
      <alignment horizontal="center" vertical="center" wrapText="1"/>
    </xf>
    <xf numFmtId="0" fontId="3" fillId="0" borderId="10" xfId="91" applyFont="1" applyBorder="1" applyAlignment="1">
      <alignment horizontal="center" vertical="center" wrapText="1"/>
    </xf>
    <xf numFmtId="0" fontId="3" fillId="0" borderId="5" xfId="91" applyFont="1" applyBorder="1" applyAlignment="1">
      <alignment horizontal="center"/>
    </xf>
    <xf numFmtId="2" fontId="3" fillId="0" borderId="9" xfId="91" applyNumberFormat="1" applyFont="1" applyBorder="1" applyAlignment="1">
      <alignment horizontal="center" vertical="center" wrapText="1"/>
    </xf>
    <xf numFmtId="0" fontId="8" fillId="0" borderId="5" xfId="91" applyFont="1" applyBorder="1" applyAlignment="1">
      <alignment horizontal="center"/>
    </xf>
    <xf numFmtId="180" fontId="3" fillId="0" borderId="9" xfId="91" applyNumberFormat="1" applyFont="1" applyBorder="1" applyAlignment="1">
      <alignment horizontal="center" vertical="center" wrapText="1"/>
    </xf>
    <xf numFmtId="0" fontId="6" fillId="2" borderId="0" xfId="91" applyFont="1" applyFill="1" applyAlignment="1">
      <alignment horizontal="center"/>
    </xf>
    <xf numFmtId="0" fontId="2" fillId="0" borderId="0" xfId="91" applyFont="1" applyAlignment="1">
      <alignment horizontal="left" vertical="center"/>
    </xf>
    <xf numFmtId="0" fontId="3" fillId="0" borderId="0" xfId="91" applyFont="1" applyAlignment="1">
      <alignment horizontal="left" vertical="center"/>
    </xf>
    <xf numFmtId="0" fontId="2" fillId="2" borderId="0" xfId="91" applyFont="1" applyFill="1" applyAlignment="1">
      <alignment horizontal="center" vertical="center"/>
    </xf>
    <xf numFmtId="0" fontId="13" fillId="0" borderId="0" xfId="91" applyFont="1" applyAlignment="1">
      <alignment horizontal="left" vertical="center"/>
    </xf>
    <xf numFmtId="0" fontId="2" fillId="0" borderId="0" xfId="91" applyFont="1" applyAlignment="1">
      <alignment horizontal="left" wrapText="1"/>
    </xf>
    <xf numFmtId="0" fontId="2" fillId="0" borderId="0" xfId="91" applyFont="1" applyAlignment="1">
      <alignment horizontal="left" vertical="center" wrapText="1"/>
    </xf>
    <xf numFmtId="184" fontId="2" fillId="0" borderId="3" xfId="82" applyNumberFormat="1" applyFont="1" applyBorder="1" applyAlignment="1">
      <alignment horizontal="center"/>
    </xf>
    <xf numFmtId="2" fontId="2" fillId="0" borderId="3" xfId="91" applyNumberFormat="1" applyFont="1" applyBorder="1" applyAlignment="1">
      <alignment horizontal="center"/>
    </xf>
    <xf numFmtId="0" fontId="9" fillId="0" borderId="3" xfId="91" applyFont="1" applyBorder="1" applyAlignment="1">
      <alignment horizontal="center"/>
    </xf>
    <xf numFmtId="0" fontId="5" fillId="0" borderId="0" xfId="91" applyFont="1"/>
    <xf numFmtId="0" fontId="5" fillId="0" borderId="0" xfId="91" applyFont="1" applyAlignment="1">
      <alignment horizontal="center"/>
    </xf>
    <xf numFmtId="0" fontId="14" fillId="0" borderId="0" xfId="91" applyFont="1" applyAlignment="1">
      <alignment horizontal="center"/>
    </xf>
    <xf numFmtId="0" fontId="6" fillId="2" borderId="0" xfId="91" applyFont="1" applyFill="1" applyAlignment="1">
      <alignment horizontal="left"/>
    </xf>
    <xf numFmtId="0" fontId="2" fillId="0" borderId="0" xfId="91" applyFont="1" applyAlignment="1">
      <alignment horizontal="left"/>
    </xf>
    <xf numFmtId="0" fontId="5" fillId="3" borderId="4" xfId="91" applyFont="1" applyFill="1" applyBorder="1" applyAlignment="1">
      <alignment horizontal="center"/>
    </xf>
    <xf numFmtId="0" fontId="3" fillId="6" borderId="3" xfId="91" applyFont="1" applyFill="1" applyBorder="1" applyAlignment="1">
      <alignment horizontal="center"/>
    </xf>
    <xf numFmtId="0" fontId="2" fillId="6" borderId="3" xfId="91" applyFont="1" applyFill="1" applyBorder="1" applyAlignment="1">
      <alignment horizontal="center"/>
    </xf>
    <xf numFmtId="0" fontId="8" fillId="6" borderId="3" xfId="91" applyFont="1" applyFill="1" applyBorder="1" applyAlignment="1">
      <alignment horizontal="center"/>
    </xf>
    <xf numFmtId="0" fontId="15" fillId="2" borderId="0" xfId="91" applyFont="1" applyFill="1"/>
    <xf numFmtId="0" fontId="16" fillId="2" borderId="0" xfId="91" applyFont="1" applyFill="1"/>
    <xf numFmtId="3" fontId="3" fillId="0" borderId="0" xfId="91" applyNumberFormat="1" applyFont="1" applyAlignment="1">
      <alignment horizontal="center"/>
    </xf>
    <xf numFmtId="0" fontId="17" fillId="0" borderId="0" xfId="91" applyFont="1"/>
    <xf numFmtId="0" fontId="3" fillId="6" borderId="5" xfId="91" applyFont="1" applyFill="1" applyBorder="1" applyAlignment="1">
      <alignment horizontal="center"/>
    </xf>
    <xf numFmtId="0" fontId="8" fillId="6" borderId="5" xfId="91" applyFont="1" applyFill="1" applyBorder="1" applyAlignment="1">
      <alignment horizontal="center"/>
    </xf>
    <xf numFmtId="0" fontId="18" fillId="0" borderId="11" xfId="91" applyFont="1" applyBorder="1" applyAlignment="1">
      <alignment horizontal="center"/>
    </xf>
    <xf numFmtId="3" fontId="8" fillId="0" borderId="11" xfId="91" applyNumberFormat="1" applyFont="1" applyBorder="1" applyAlignment="1">
      <alignment horizontal="center"/>
    </xf>
    <xf numFmtId="0" fontId="5" fillId="3" borderId="1" xfId="91" applyFont="1" applyFill="1" applyBorder="1" applyAlignment="1">
      <alignment horizontal="center"/>
    </xf>
    <xf numFmtId="0" fontId="19" fillId="0" borderId="12" xfId="91" applyFont="1" applyBorder="1" applyAlignment="1">
      <alignment horizontal="left" wrapText="1" readingOrder="1"/>
    </xf>
    <xf numFmtId="0" fontId="19" fillId="0" borderId="0" xfId="91" applyFont="1" applyAlignment="1">
      <alignment horizontal="left" wrapText="1" readingOrder="1"/>
    </xf>
    <xf numFmtId="0" fontId="2" fillId="2" borderId="0" xfId="91" applyFont="1" applyFill="1" applyAlignment="1">
      <alignment horizontal="left" vertical="top" wrapText="1"/>
    </xf>
    <xf numFmtId="0" fontId="2" fillId="2" borderId="0" xfId="91" applyFont="1" applyFill="1" applyAlignment="1">
      <alignment vertical="center"/>
    </xf>
    <xf numFmtId="0" fontId="2" fillId="0" borderId="1" xfId="91" applyFont="1" applyBorder="1" applyAlignment="1">
      <alignment horizontal="left"/>
    </xf>
    <xf numFmtId="1" fontId="2" fillId="0" borderId="1" xfId="91" applyNumberFormat="1" applyFont="1" applyBorder="1" applyAlignment="1">
      <alignment horizontal="center" vertical="center"/>
    </xf>
    <xf numFmtId="180" fontId="2" fillId="0" borderId="1" xfId="91" applyNumberFormat="1" applyFont="1" applyBorder="1" applyAlignment="1">
      <alignment horizontal="center" vertical="center"/>
    </xf>
    <xf numFmtId="180" fontId="2" fillId="0" borderId="3" xfId="91" applyNumberFormat="1" applyFont="1" applyBorder="1" applyAlignment="1">
      <alignment horizontal="center"/>
    </xf>
    <xf numFmtId="0" fontId="20" fillId="0" borderId="0" xfId="91" applyFont="1" applyAlignment="1">
      <alignment horizontal="center"/>
    </xf>
    <xf numFmtId="180" fontId="2" fillId="5" borderId="1" xfId="91" applyNumberFormat="1" applyFont="1" applyFill="1" applyBorder="1" applyAlignment="1">
      <alignment horizontal="center" vertical="center"/>
    </xf>
    <xf numFmtId="180" fontId="21" fillId="0" borderId="3" xfId="91" applyNumberFormat="1" applyFont="1" applyBorder="1" applyAlignment="1">
      <alignment horizontal="center"/>
    </xf>
    <xf numFmtId="0" fontId="0" fillId="0" borderId="0" xfId="91" applyAlignment="1">
      <alignment horizontal="left"/>
    </xf>
    <xf numFmtId="0" fontId="15" fillId="2" borderId="0" xfId="91" applyFont="1" applyFill="1" applyAlignment="1">
      <alignment horizontal="left" vertical="center"/>
    </xf>
    <xf numFmtId="0" fontId="2" fillId="6" borderId="13" xfId="91" applyFont="1" applyFill="1" applyBorder="1" applyAlignment="1">
      <alignment horizontal="center"/>
    </xf>
    <xf numFmtId="0" fontId="2" fillId="6" borderId="5" xfId="91" applyFont="1" applyFill="1" applyBorder="1" applyAlignment="1">
      <alignment horizontal="center"/>
    </xf>
    <xf numFmtId="180" fontId="2" fillId="0" borderId="1" xfId="91" applyNumberFormat="1" applyFont="1" applyBorder="1" applyAlignment="1">
      <alignment horizontal="center"/>
    </xf>
    <xf numFmtId="180" fontId="2" fillId="0" borderId="4" xfId="91" applyNumberFormat="1" applyFont="1" applyBorder="1" applyAlignment="1">
      <alignment horizontal="center"/>
    </xf>
    <xf numFmtId="0" fontId="1" fillId="6" borderId="3" xfId="91" applyFont="1" applyFill="1" applyBorder="1" applyAlignment="1">
      <alignment horizontal="center"/>
    </xf>
    <xf numFmtId="0" fontId="8" fillId="2" borderId="0" xfId="91" applyFont="1" applyFill="1"/>
    <xf numFmtId="0" fontId="2" fillId="2" borderId="0" xfId="91" applyFont="1" applyFill="1" applyAlignment="1">
      <alignment vertical="center" wrapText="1"/>
    </xf>
    <xf numFmtId="1" fontId="8" fillId="6" borderId="5" xfId="91" applyNumberFormat="1" applyFont="1" applyFill="1" applyBorder="1" applyAlignment="1">
      <alignment horizontal="center"/>
    </xf>
    <xf numFmtId="4" fontId="22" fillId="0" borderId="12" xfId="92" applyNumberFormat="1" applyFont="1" applyBorder="1" applyAlignment="1">
      <alignment horizontal="left" vertical="center"/>
    </xf>
    <xf numFmtId="1" fontId="8" fillId="6" borderId="3" xfId="91" applyNumberFormat="1" applyFont="1" applyFill="1" applyBorder="1" applyAlignment="1">
      <alignment horizontal="center"/>
    </xf>
    <xf numFmtId="1" fontId="20" fillId="0" borderId="0" xfId="91" applyNumberFormat="1" applyFont="1" applyAlignment="1">
      <alignment horizontal="center"/>
    </xf>
    <xf numFmtId="0" fontId="23" fillId="4" borderId="0" xfId="91" applyFont="1" applyFill="1" applyAlignment="1">
      <alignment vertical="center"/>
    </xf>
    <xf numFmtId="0" fontId="2" fillId="0" borderId="0" xfId="90" applyFont="1"/>
    <xf numFmtId="0" fontId="1" fillId="2" borderId="0" xfId="91" applyFont="1" applyFill="1"/>
    <xf numFmtId="0" fontId="1" fillId="0" borderId="0" xfId="91" applyFont="1" applyAlignment="1">
      <alignment horizontal="center"/>
    </xf>
    <xf numFmtId="0" fontId="2" fillId="5" borderId="0" xfId="91" applyFont="1" applyFill="1" applyAlignment="1">
      <alignment horizontal="left" vertical="center"/>
    </xf>
    <xf numFmtId="0" fontId="2" fillId="7" borderId="0" xfId="91" applyFont="1" applyFill="1" applyAlignment="1">
      <alignment horizontal="left" vertical="center"/>
    </xf>
    <xf numFmtId="3" fontId="2" fillId="0" borderId="3" xfId="91" applyNumberFormat="1" applyFont="1" applyBorder="1" applyAlignment="1">
      <alignment horizontal="center"/>
    </xf>
    <xf numFmtId="0" fontId="1" fillId="2" borderId="0" xfId="91" applyFont="1" applyFill="1" applyAlignment="1">
      <alignment horizontal="left" vertical="center"/>
    </xf>
    <xf numFmtId="0" fontId="1" fillId="5" borderId="3" xfId="91" applyFont="1" applyFill="1" applyBorder="1" applyAlignment="1">
      <alignment horizontal="center"/>
    </xf>
    <xf numFmtId="0" fontId="2" fillId="5" borderId="0" xfId="91" applyFont="1" applyFill="1" applyAlignment="1">
      <alignment horizontal="left" wrapText="1"/>
    </xf>
    <xf numFmtId="0" fontId="2" fillId="4" borderId="0" xfId="91" applyFont="1" applyFill="1" applyAlignment="1">
      <alignment horizontal="left"/>
    </xf>
    <xf numFmtId="0" fontId="2" fillId="0" borderId="6" xfId="91" applyFont="1" applyBorder="1" applyAlignment="1">
      <alignment horizontal="center"/>
    </xf>
    <xf numFmtId="177" fontId="2" fillId="0" borderId="3" xfId="80" applyFont="1" applyBorder="1" applyAlignment="1">
      <alignment horizontal="center"/>
    </xf>
    <xf numFmtId="0" fontId="2" fillId="0" borderId="14" xfId="91" applyFont="1" applyBorder="1" applyAlignment="1">
      <alignment horizontal="center"/>
    </xf>
    <xf numFmtId="0" fontId="24" fillId="4" borderId="0" xfId="91" applyFont="1" applyFill="1"/>
    <xf numFmtId="2" fontId="1" fillId="0" borderId="5" xfId="91" applyNumberFormat="1" applyFont="1" applyBorder="1" applyAlignment="1">
      <alignment horizontal="center"/>
    </xf>
    <xf numFmtId="177" fontId="2" fillId="0" borderId="6" xfId="80" applyFont="1" applyBorder="1" applyAlignment="1">
      <alignment horizontal="center"/>
    </xf>
    <xf numFmtId="2" fontId="2" fillId="4" borderId="0" xfId="91" applyNumberFormat="1" applyFont="1" applyFill="1" applyAlignment="1">
      <alignment horizontal="center"/>
    </xf>
    <xf numFmtId="177" fontId="2" fillId="0" borderId="0" xfId="91" applyNumberFormat="1" applyFont="1" applyAlignment="1">
      <alignment horizontal="center"/>
    </xf>
    <xf numFmtId="0" fontId="5" fillId="3" borderId="15" xfId="91" applyFont="1" applyFill="1" applyBorder="1" applyAlignment="1">
      <alignment horizontal="center"/>
    </xf>
    <xf numFmtId="1" fontId="2" fillId="0" borderId="5" xfId="91" applyNumberFormat="1" applyFont="1" applyBorder="1" applyAlignment="1">
      <alignment horizontal="center"/>
    </xf>
    <xf numFmtId="0" fontId="25" fillId="2" borderId="0" xfId="91" applyFont="1" applyFill="1"/>
    <xf numFmtId="0" fontId="25" fillId="2" borderId="0" xfId="91" applyFont="1" applyFill="1" applyAlignment="1">
      <alignment horizontal="center"/>
    </xf>
    <xf numFmtId="0" fontId="26" fillId="2" borderId="0" xfId="91" applyFont="1" applyFill="1"/>
    <xf numFmtId="0" fontId="27" fillId="2" borderId="0" xfId="91" applyFont="1" applyFill="1"/>
    <xf numFmtId="0" fontId="26" fillId="2" borderId="0" xfId="91" applyFont="1" applyFill="1" applyAlignment="1">
      <alignment horizontal="left"/>
    </xf>
    <xf numFmtId="0" fontId="1" fillId="2" borderId="0" xfId="91" applyFont="1" applyFill="1" applyAlignment="1">
      <alignment horizontal="left"/>
    </xf>
    <xf numFmtId="0" fontId="2" fillId="2" borderId="0" xfId="91" applyFont="1" applyFill="1" applyAlignment="1">
      <alignment horizontal="left" vertical="top"/>
    </xf>
    <xf numFmtId="4" fontId="2" fillId="0" borderId="3" xfId="84" applyNumberFormat="1" applyFont="1" applyFill="1" applyBorder="1" applyAlignment="1">
      <alignment horizontal="center"/>
    </xf>
    <xf numFmtId="3" fontId="2" fillId="0" borderId="3" xfId="84" applyNumberFormat="1" applyFont="1" applyFill="1" applyBorder="1" applyAlignment="1">
      <alignment horizontal="center"/>
    </xf>
    <xf numFmtId="0" fontId="25" fillId="0" borderId="0" xfId="91" applyFont="1"/>
    <xf numFmtId="0" fontId="25" fillId="0" borderId="0" xfId="91" applyFont="1" applyAlignment="1">
      <alignment horizontal="center"/>
    </xf>
    <xf numFmtId="0" fontId="5" fillId="3" borderId="12" xfId="91" applyFont="1" applyFill="1" applyBorder="1" applyAlignment="1">
      <alignment horizontal="center"/>
    </xf>
    <xf numFmtId="0" fontId="5" fillId="3" borderId="0" xfId="91" applyFont="1" applyFill="1" applyAlignment="1">
      <alignment horizontal="center"/>
    </xf>
    <xf numFmtId="0" fontId="2" fillId="4" borderId="6" xfId="91" applyFont="1" applyFill="1" applyBorder="1" applyAlignment="1">
      <alignment horizontal="center"/>
    </xf>
    <xf numFmtId="0" fontId="11" fillId="0" borderId="0" xfId="91" applyFont="1"/>
    <xf numFmtId="0" fontId="28" fillId="0" borderId="6" xfId="0" applyFont="1" applyBorder="1" applyAlignment="1">
      <alignment horizontal="center" vertical="center"/>
    </xf>
    <xf numFmtId="0" fontId="3" fillId="8" borderId="9" xfId="91" applyFont="1" applyFill="1" applyBorder="1" applyAlignment="1">
      <alignment horizontal="center" vertical="center" wrapText="1"/>
    </xf>
    <xf numFmtId="0" fontId="29" fillId="3" borderId="1" xfId="91" applyFont="1" applyFill="1" applyBorder="1" applyAlignment="1">
      <alignment vertical="center"/>
    </xf>
    <xf numFmtId="0" fontId="29" fillId="3" borderId="2" xfId="91" applyFont="1" applyFill="1" applyBorder="1" applyAlignment="1">
      <alignment vertical="center"/>
    </xf>
    <xf numFmtId="0" fontId="29" fillId="3" borderId="2" xfId="91" applyFont="1" applyFill="1" applyBorder="1" applyAlignment="1">
      <alignment horizontal="center" vertical="center"/>
    </xf>
    <xf numFmtId="0" fontId="30" fillId="0" borderId="0" xfId="91" applyFont="1"/>
    <xf numFmtId="0" fontId="31" fillId="4" borderId="0" xfId="91" applyFont="1" applyFill="1" applyAlignment="1">
      <alignment horizontal="center" vertical="center"/>
    </xf>
    <xf numFmtId="0" fontId="32" fillId="4" borderId="0" xfId="91" applyFont="1" applyFill="1" applyAlignment="1">
      <alignment vertical="center"/>
    </xf>
    <xf numFmtId="0" fontId="33" fillId="4" borderId="0" xfId="91" applyFont="1" applyFill="1" applyAlignment="1">
      <alignment horizontal="center" vertical="center"/>
    </xf>
    <xf numFmtId="0" fontId="33" fillId="4" borderId="0" xfId="91" applyFont="1" applyFill="1" applyAlignment="1">
      <alignment vertical="center"/>
    </xf>
    <xf numFmtId="0" fontId="33" fillId="5" borderId="0" xfId="91" applyFont="1" applyFill="1" applyAlignment="1">
      <alignment vertical="center"/>
    </xf>
    <xf numFmtId="0" fontId="13" fillId="0" borderId="3" xfId="91" applyFont="1" applyBorder="1" applyAlignment="1">
      <alignment horizontal="center" vertical="center"/>
    </xf>
    <xf numFmtId="0" fontId="13" fillId="0" borderId="1" xfId="91" applyFont="1" applyBorder="1" applyAlignment="1">
      <alignment horizontal="center" vertical="center"/>
    </xf>
    <xf numFmtId="0" fontId="13" fillId="0" borderId="4" xfId="91" applyFont="1" applyBorder="1" applyAlignment="1">
      <alignment horizontal="center" vertical="center"/>
    </xf>
    <xf numFmtId="0" fontId="13" fillId="0" borderId="5" xfId="91" applyFont="1" applyBorder="1" applyAlignment="1">
      <alignment horizontal="center" vertical="center"/>
    </xf>
    <xf numFmtId="0" fontId="13" fillId="0" borderId="6" xfId="91" applyFont="1" applyBorder="1" applyAlignment="1">
      <alignment horizontal="center" vertical="center"/>
    </xf>
    <xf numFmtId="0" fontId="5" fillId="3" borderId="2" xfId="91" applyFont="1" applyFill="1" applyBorder="1"/>
    <xf numFmtId="49" fontId="34" fillId="3" borderId="1" xfId="91" applyNumberFormat="1" applyFont="1" applyFill="1" applyBorder="1" applyAlignment="1">
      <alignment horizontal="center" vertical="center"/>
    </xf>
    <xf numFmtId="49" fontId="34" fillId="3" borderId="2" xfId="91" applyNumberFormat="1" applyFont="1" applyFill="1" applyBorder="1" applyAlignment="1">
      <alignment horizontal="center" vertical="center"/>
    </xf>
    <xf numFmtId="49" fontId="34" fillId="3" borderId="4" xfId="91" applyNumberFormat="1" applyFont="1" applyFill="1" applyBorder="1" applyAlignment="1">
      <alignment horizontal="center" vertical="center"/>
    </xf>
    <xf numFmtId="49" fontId="34" fillId="9" borderId="13" xfId="96" applyNumberFormat="1" applyFont="1" applyFill="1" applyBorder="1" applyAlignment="1">
      <alignment horizontal="center" vertical="center" wrapText="1"/>
    </xf>
    <xf numFmtId="0" fontId="34" fillId="9" borderId="13" xfId="96" applyFont="1" applyFill="1" applyBorder="1" applyAlignment="1">
      <alignment horizontal="center" vertical="center" wrapText="1"/>
    </xf>
    <xf numFmtId="1" fontId="34" fillId="9" borderId="13" xfId="96" applyNumberFormat="1" applyFont="1" applyFill="1" applyBorder="1" applyAlignment="1">
      <alignment horizontal="center" vertical="center" wrapText="1"/>
    </xf>
    <xf numFmtId="4" fontId="34" fillId="9" borderId="13" xfId="96" applyNumberFormat="1" applyFont="1" applyFill="1" applyBorder="1" applyAlignment="1">
      <alignment horizontal="center" vertical="center" wrapText="1"/>
    </xf>
    <xf numFmtId="185" fontId="34" fillId="9" borderId="13" xfId="96" applyNumberFormat="1" applyFont="1" applyFill="1" applyBorder="1" applyAlignment="1">
      <alignment horizontal="center" vertical="center" wrapText="1"/>
    </xf>
    <xf numFmtId="0" fontId="35" fillId="0" borderId="3" xfId="96" applyFont="1" applyBorder="1" applyAlignment="1">
      <alignment horizontal="center" vertical="center"/>
    </xf>
    <xf numFmtId="0" fontId="35" fillId="0" borderId="3" xfId="96" applyFont="1" applyBorder="1" applyAlignment="1">
      <alignment horizontal="center"/>
    </xf>
    <xf numFmtId="0" fontId="35" fillId="0" borderId="3" xfId="91" applyFont="1" applyBorder="1" applyAlignment="1">
      <alignment horizontal="center"/>
    </xf>
    <xf numFmtId="4" fontId="35" fillId="0" borderId="3" xfId="96" applyNumberFormat="1" applyFont="1" applyBorder="1" applyAlignment="1">
      <alignment horizontal="center" vertical="center"/>
    </xf>
    <xf numFmtId="185" fontId="35" fillId="0" borderId="3" xfId="96" applyNumberFormat="1" applyFont="1" applyBorder="1" applyAlignment="1">
      <alignment horizontal="center" vertical="center"/>
    </xf>
    <xf numFmtId="49" fontId="35" fillId="0" borderId="3" xfId="96" applyNumberFormat="1" applyFont="1" applyBorder="1" applyAlignment="1">
      <alignment horizontal="center" vertical="center"/>
    </xf>
    <xf numFmtId="0" fontId="36" fillId="0" borderId="0" xfId="91" applyFont="1" applyAlignment="1">
      <alignment horizontal="center" vertical="center"/>
    </xf>
    <xf numFmtId="0" fontId="37" fillId="0" borderId="0" xfId="91" applyFont="1" applyAlignment="1">
      <alignment horizontal="center"/>
    </xf>
    <xf numFmtId="4" fontId="37" fillId="0" borderId="0" xfId="91" applyNumberFormat="1" applyFont="1" applyAlignment="1">
      <alignment horizontal="center"/>
    </xf>
    <xf numFmtId="0" fontId="38" fillId="0" borderId="0" xfId="91" applyFont="1" applyAlignment="1">
      <alignment horizontal="center" vertical="center"/>
    </xf>
    <xf numFmtId="0" fontId="38" fillId="0" borderId="0" xfId="91" applyFont="1" applyAlignment="1">
      <alignment horizontal="left" vertical="center"/>
    </xf>
    <xf numFmtId="0" fontId="38" fillId="5" borderId="0" xfId="91" applyFont="1" applyFill="1" applyAlignment="1">
      <alignment horizontal="left" vertical="center"/>
    </xf>
    <xf numFmtId="0" fontId="37" fillId="5" borderId="0" xfId="91" applyFont="1" applyFill="1" applyAlignment="1">
      <alignment horizontal="center"/>
    </xf>
    <xf numFmtId="4" fontId="37" fillId="5" borderId="0" xfId="91" applyNumberFormat="1" applyFont="1" applyFill="1" applyAlignment="1">
      <alignment horizontal="center"/>
    </xf>
    <xf numFmtId="0" fontId="37" fillId="0" borderId="0" xfId="91" applyFont="1" applyAlignment="1">
      <alignment horizontal="left"/>
    </xf>
    <xf numFmtId="0" fontId="0" fillId="0" borderId="0" xfId="0" applyAlignment="1">
      <alignment horizontal="center"/>
    </xf>
    <xf numFmtId="0" fontId="39" fillId="10" borderId="16" xfId="0" applyFont="1" applyFill="1" applyBorder="1"/>
    <xf numFmtId="0" fontId="39" fillId="10" borderId="16" xfId="0" applyFont="1" applyFill="1" applyBorder="1" applyAlignment="1">
      <alignment horizontal="center"/>
    </xf>
    <xf numFmtId="0" fontId="0" fillId="0" borderId="0" xfId="0" applyFont="1" applyAlignment="1">
      <alignment horizontal="center"/>
    </xf>
    <xf numFmtId="3" fontId="0" fillId="0" borderId="0" xfId="0" applyNumberFormat="1" applyAlignment="1">
      <alignment horizontal="center"/>
    </xf>
    <xf numFmtId="3" fontId="39" fillId="10" borderId="16" xfId="0" applyNumberFormat="1" applyFont="1" applyFill="1" applyBorder="1" applyAlignment="1">
      <alignment horizontal="center"/>
    </xf>
    <xf numFmtId="0" fontId="0" fillId="0" borderId="0" xfId="0" applyFont="1"/>
    <xf numFmtId="0" fontId="40" fillId="0" borderId="0" xfId="0" applyFont="1" applyAlignment="1">
      <alignment vertical="center"/>
    </xf>
    <xf numFmtId="0" fontId="0" fillId="0" borderId="0" xfId="0" applyAlignment="1">
      <alignment horizontal="left" vertical="center" indent="1"/>
    </xf>
    <xf numFmtId="0" fontId="40" fillId="0" borderId="0" xfId="0" applyFont="1" applyAlignment="1">
      <alignment horizontal="left" vertical="center" indent="1"/>
    </xf>
    <xf numFmtId="0" fontId="22" fillId="0" borderId="0" xfId="0" applyFont="1" applyAlignment="1">
      <alignment horizontal="center" vertical="center" wrapText="1"/>
    </xf>
    <xf numFmtId="3" fontId="0" fillId="0" borderId="0" xfId="0" applyNumberFormat="1" applyFont="1" applyAlignment="1">
      <alignment horizontal="center"/>
    </xf>
    <xf numFmtId="1" fontId="0" fillId="0" borderId="0" xfId="0" applyNumberFormat="1" applyFont="1" applyAlignment="1">
      <alignment horizontal="center"/>
    </xf>
    <xf numFmtId="177" fontId="0" fillId="0" borderId="0" xfId="4" applyFont="1" applyFill="1" applyAlignment="1">
      <alignment horizontal="center"/>
    </xf>
    <xf numFmtId="0" fontId="39" fillId="11" borderId="0" xfId="0" applyFont="1" applyFill="1" applyAlignment="1">
      <alignment horizontal="center" vertical="center"/>
    </xf>
    <xf numFmtId="0" fontId="39" fillId="10" borderId="0" xfId="0" applyFont="1" applyFill="1" applyAlignment="1">
      <alignment horizontal="center" vertical="center" wrapText="1"/>
    </xf>
    <xf numFmtId="3" fontId="39" fillId="10" borderId="0" xfId="0" applyNumberFormat="1" applyFont="1" applyFill="1" applyAlignment="1">
      <alignment horizontal="center" vertical="center" wrapText="1"/>
    </xf>
    <xf numFmtId="1" fontId="39" fillId="10" borderId="0" xfId="0" applyNumberFormat="1" applyFont="1" applyFill="1" applyAlignment="1">
      <alignment horizontal="center" vertical="center" wrapText="1"/>
    </xf>
    <xf numFmtId="0" fontId="39" fillId="7" borderId="0" xfId="0" applyFont="1" applyFill="1" applyAlignment="1">
      <alignment horizontal="center" vertical="center" wrapText="1"/>
    </xf>
    <xf numFmtId="177" fontId="39" fillId="7" borderId="0" xfId="4" applyFont="1" applyFill="1" applyAlignment="1">
      <alignment horizontal="center" vertical="center" wrapText="1"/>
    </xf>
    <xf numFmtId="177" fontId="0" fillId="0" borderId="0" xfId="4" applyFont="1" applyFill="1"/>
    <xf numFmtId="177" fontId="39" fillId="0" borderId="0" xfId="4" applyFont="1" applyAlignment="1">
      <alignment horizontal="center"/>
    </xf>
    <xf numFmtId="0" fontId="41" fillId="0" borderId="0" xfId="0" applyFont="1" applyAlignment="1">
      <alignment horizontal="center"/>
    </xf>
    <xf numFmtId="3" fontId="41" fillId="0" borderId="0" xfId="0" applyNumberFormat="1" applyFont="1" applyAlignment="1">
      <alignment horizontal="center"/>
    </xf>
    <xf numFmtId="1" fontId="41" fillId="0" borderId="0" xfId="0" applyNumberFormat="1" applyFont="1" applyAlignment="1">
      <alignment horizontal="center"/>
    </xf>
    <xf numFmtId="0" fontId="0" fillId="0" borderId="0" xfId="0" applyFont="1" applyAlignment="1">
      <alignment horizontal="center" vertical="center"/>
    </xf>
    <xf numFmtId="0" fontId="21" fillId="0" borderId="0" xfId="0" applyFont="1"/>
    <xf numFmtId="0" fontId="21" fillId="0" borderId="0" xfId="0" applyFont="1" applyAlignment="1">
      <alignment horizontal="center"/>
    </xf>
    <xf numFmtId="177" fontId="21" fillId="0" borderId="0" xfId="4" applyFont="1" applyFill="1"/>
    <xf numFmtId="177" fontId="0" fillId="0" borderId="0" xfId="4" applyFont="1" applyFill="1" applyAlignment="1">
      <alignment horizontal="left"/>
    </xf>
    <xf numFmtId="177" fontId="39" fillId="0" borderId="0" xfId="0" applyNumberFormat="1" applyFont="1" applyAlignment="1">
      <alignment horizontal="center"/>
    </xf>
    <xf numFmtId="0" fontId="21" fillId="0" borderId="0" xfId="0" applyFont="1" applyAlignment="1">
      <alignment horizontal="center" vertical="center"/>
    </xf>
    <xf numFmtId="177" fontId="21" fillId="0" borderId="0" xfId="4" applyFont="1"/>
    <xf numFmtId="180" fontId="21" fillId="0" borderId="0" xfId="0" applyNumberFormat="1" applyFont="1" applyAlignment="1">
      <alignment horizontal="center"/>
    </xf>
    <xf numFmtId="0" fontId="0" fillId="0" borderId="0" xfId="0" applyFont="1" applyAlignment="1">
      <alignment horizontal="left"/>
    </xf>
    <xf numFmtId="0" fontId="0" fillId="0" borderId="0" xfId="91"/>
    <xf numFmtId="0" fontId="42" fillId="12" borderId="0" xfId="0" applyFont="1" applyFill="1" applyAlignment="1">
      <alignment horizontal="center" vertical="center" wrapText="1"/>
    </xf>
    <xf numFmtId="0" fontId="0" fillId="13" borderId="0" xfId="91" applyFill="1"/>
    <xf numFmtId="0" fontId="0" fillId="13" borderId="0" xfId="0" applyFill="1"/>
    <xf numFmtId="0" fontId="0" fillId="13" borderId="0" xfId="0" applyFont="1" applyFill="1"/>
    <xf numFmtId="0" fontId="0" fillId="14" borderId="0" xfId="0" applyFont="1" applyFill="1"/>
    <xf numFmtId="0" fontId="0" fillId="14" borderId="0" xfId="0" applyFill="1"/>
    <xf numFmtId="180" fontId="2" fillId="0" borderId="1" xfId="91" applyNumberFormat="1" applyFont="1" applyBorder="1" applyAlignment="1" quotePrefix="1">
      <alignment horizontal="center" vertical="center"/>
    </xf>
  </cellXfs>
  <cellStyles count="11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Énfasis1 2" xfId="49"/>
    <cellStyle name="20% - Énfasis2 2" xfId="50"/>
    <cellStyle name="20% - Énfasis3 2" xfId="51"/>
    <cellStyle name="20% - Énfasis4 2" xfId="52"/>
    <cellStyle name="20% - Énfasis5 2" xfId="53"/>
    <cellStyle name="20% - Énfasis6 2" xfId="54"/>
    <cellStyle name="40% - Énfasis1 2" xfId="55"/>
    <cellStyle name="40% - Énfasis2 2" xfId="56"/>
    <cellStyle name="40% - Énfasis3 2" xfId="57"/>
    <cellStyle name="40% - Énfasis6 2" xfId="58"/>
    <cellStyle name="60% - Énfasis1 2" xfId="59"/>
    <cellStyle name="60% - Énfasis2 2" xfId="60"/>
    <cellStyle name="60% - Énfasis3 2" xfId="61"/>
    <cellStyle name="60% - Énfasis4 2" xfId="62"/>
    <cellStyle name="60% - Énfasis5 2" xfId="63"/>
    <cellStyle name="60% - Énfasis6 2" xfId="64"/>
    <cellStyle name="Accent1" xfId="65"/>
    <cellStyle name="ANCLAS,REZONES Y SUS PARTES,DE FUNDICION,DE HIERRO O DE ACERO" xfId="66"/>
    <cellStyle name="Buena 2" xfId="67"/>
    <cellStyle name="Cálculo 2" xfId="68"/>
    <cellStyle name="Celda de comprobación 2" xfId="69"/>
    <cellStyle name="Celda vinculada 2" xfId="70"/>
    <cellStyle name="Diseño" xfId="71"/>
    <cellStyle name="Encabezado 4 2" xfId="72"/>
    <cellStyle name="Énfasis2 2" xfId="73"/>
    <cellStyle name="Énfasis3 2" xfId="74"/>
    <cellStyle name="Énfasis6 2" xfId="75"/>
    <cellStyle name="Entrada 2" xfId="76"/>
    <cellStyle name="Euro" xfId="77"/>
    <cellStyle name="Hipervínculo 2" xfId="78"/>
    <cellStyle name="Incorrecto 2" xfId="79"/>
    <cellStyle name="Millares [0] 10" xfId="80"/>
    <cellStyle name="Millares [0] 2 10" xfId="81"/>
    <cellStyle name="Millares [0] 3" xfId="82"/>
    <cellStyle name="Millares 2" xfId="83"/>
    <cellStyle name="Millares 2 2 2" xfId="84"/>
    <cellStyle name="Millares 2 4" xfId="85"/>
    <cellStyle name="Millares 4" xfId="86"/>
    <cellStyle name="Millares 4 2" xfId="87"/>
    <cellStyle name="Moneda 2" xfId="88"/>
    <cellStyle name="Neutral 2" xfId="89"/>
    <cellStyle name="Normal 10 2 2 2 3 2 3" xfId="90"/>
    <cellStyle name="Normal 2" xfId="91"/>
    <cellStyle name="Normal 2 2" xfId="92"/>
    <cellStyle name="Normal 2 5" xfId="93"/>
    <cellStyle name="Normal 2 6" xfId="94"/>
    <cellStyle name="Normal 4 11 2" xfId="95"/>
    <cellStyle name="Normal 7 4 2 2 3 2 3" xfId="96"/>
    <cellStyle name="Notas 2" xfId="97"/>
    <cellStyle name="Porcentaje 2" xfId="98"/>
    <cellStyle name="Porcentaje 3 2" xfId="99"/>
    <cellStyle name="Salida 2" xfId="100"/>
    <cellStyle name="Texto de advertencia 2" xfId="101"/>
    <cellStyle name="Texto explicativo 2" xfId="102"/>
    <cellStyle name="Título 1 2" xfId="103"/>
    <cellStyle name="Título 2 2" xfId="104"/>
    <cellStyle name="Título 3 2" xfId="105"/>
    <cellStyle name="Título 4" xfId="106"/>
    <cellStyle name="Título 4 2" xfId="107"/>
    <cellStyle name="Total 2" xfId="108"/>
    <cellStyle name="쉼표 [0] 2" xfId="109"/>
    <cellStyle name="쉼표 [0] 2 2" xfId="110"/>
    <cellStyle name="표준 2" xfId="111"/>
    <cellStyle name="표준 3 3" xfId="112"/>
    <cellStyle name="標準_sampleCOS契約番号入力" xfId="113"/>
    <cellStyle name="货币 2" xfId="114"/>
  </cellStyles>
  <tableStyles count="0" defaultTableStyle="TableStyleMedium9" defaultPivotStyle="PivotStyleLight16"/>
  <colors>
    <mruColors>
      <color rgb="00FA5206"/>
      <color rgb="00C3EEF3"/>
      <color rgb="00ECBEE5"/>
      <color rgb="00FF99FF"/>
      <color rgb="00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42334</xdr:colOff>
      <xdr:row>0</xdr:row>
      <xdr:rowOff>84667</xdr:rowOff>
    </xdr:from>
    <xdr:to>
      <xdr:col>3</xdr:col>
      <xdr:colOff>984250</xdr:colOff>
      <xdr:row>0</xdr:row>
      <xdr:rowOff>529166</xdr:rowOff>
    </xdr:to>
    <xdr:sp>
      <xdr:nvSpPr>
        <xdr:cNvPr id="3" name="CuadroTexto 2"/>
        <xdr:cNvSpPr txBox="1"/>
      </xdr:nvSpPr>
      <xdr:spPr>
        <a:xfrm>
          <a:off x="41910" y="84455"/>
          <a:ext cx="573151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Please consider the specifications of each lot in the general specifications sheets of Cintac and Tupemesa. Offers that do not meet the indicated specifications will not be accepted.</a:t>
          </a:r>
          <a:endParaRPr lang="es-CL" sz="1100" b="1"/>
        </a:p>
        <a:p>
          <a:endParaRPr lang="es-CL"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81642</xdr:colOff>
      <xdr:row>0</xdr:row>
      <xdr:rowOff>45358</xdr:rowOff>
    </xdr:from>
    <xdr:to>
      <xdr:col>7</xdr:col>
      <xdr:colOff>1197428</xdr:colOff>
      <xdr:row>0</xdr:row>
      <xdr:rowOff>489857</xdr:rowOff>
    </xdr:to>
    <xdr:sp>
      <xdr:nvSpPr>
        <xdr:cNvPr id="2" name="CuadroTexto 1"/>
        <xdr:cNvSpPr txBox="1"/>
      </xdr:nvSpPr>
      <xdr:spPr>
        <a:xfrm>
          <a:off x="81280" y="45085"/>
          <a:ext cx="11260455"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t>Please consider the specifications of each lot in the general specifications sheets of Cintac and Tupemesa. Offers that do not meet the indicated specifications will not be accepted.</a:t>
          </a:r>
          <a:endParaRPr lang="es-CL" sz="1100" b="1"/>
        </a:p>
        <a:p>
          <a:endParaRPr lang="es-CL" sz="1100"/>
        </a:p>
      </xdr:txBody>
    </xdr:sp>
    <xdr:clientData/>
  </xdr:twoCellAnchor>
</xdr:wsDr>
</file>

<file path=xl/tables/table1.xml><?xml version="1.0" encoding="utf-8"?>
<table xmlns="http://schemas.openxmlformats.org/spreadsheetml/2006/main" id="1" name="Tabla22" displayName="Tabla22" ref="A1:E55" totalsRowShown="0">
  <autoFilter xmlns:etc="http://www.wps.cn/officeDocument/2017/etCustomData" ref="A1:E55" etc:filterBottomFollowUsedRange="0"/>
  <tableColumns count="5">
    <tableColumn id="1" name="Lote"/>
    <tableColumn id="2" name="Steel"/>
    <tableColumn id="3" name="Familia"/>
    <tableColumn id="4" name="Destino"/>
    <tableColumn id="5" name="País"/>
  </tableColumns>
  <tableStyleInfo name="TableStyleLight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G1644"/>
  <sheetViews>
    <sheetView showGridLines="0" topLeftCell="A37" workbookViewId="0">
      <selection activeCell="A46" sqref="A46"/>
    </sheetView>
  </sheetViews>
  <sheetFormatPr defaultColWidth="11.4454545454545" defaultRowHeight="12.5" outlineLevelCol="6"/>
  <cols>
    <col min="2" max="2" width="22.5545454545455" customWidth="1"/>
    <col min="5" max="5" width="13.5545454545455" customWidth="1"/>
    <col min="6" max="6" width="45.2181818181818" customWidth="1"/>
    <col min="7" max="7" width="29.4454545454545" style="219" customWidth="1"/>
  </cols>
  <sheetData>
    <row r="1" spans="1:7">
      <c r="A1" s="220" t="s">
        <v>0</v>
      </c>
      <c r="B1" s="220" t="s">
        <v>1</v>
      </c>
      <c r="C1" t="s">
        <v>2</v>
      </c>
      <c r="D1" t="s">
        <v>3</v>
      </c>
      <c r="E1" t="s">
        <v>4</v>
      </c>
      <c r="G1" s="221" t="s">
        <v>5</v>
      </c>
    </row>
    <row r="2" spans="1:7">
      <c r="A2" s="220" t="s">
        <v>6</v>
      </c>
      <c r="B2" s="220" t="s">
        <v>7</v>
      </c>
      <c r="C2" t="s">
        <v>8</v>
      </c>
      <c r="D2" t="s">
        <v>9</v>
      </c>
      <c r="E2" t="s">
        <v>10</v>
      </c>
      <c r="G2" s="219" t="s">
        <v>11</v>
      </c>
    </row>
    <row r="3" spans="1:7">
      <c r="A3" s="220" t="s">
        <v>12</v>
      </c>
      <c r="B3" s="220" t="s">
        <v>13</v>
      </c>
      <c r="C3" t="s">
        <v>8</v>
      </c>
      <c r="D3" t="s">
        <v>9</v>
      </c>
      <c r="E3" t="s">
        <v>10</v>
      </c>
      <c r="G3" s="219" t="s">
        <v>14</v>
      </c>
    </row>
    <row r="4" spans="1:7">
      <c r="A4" s="222" t="s">
        <v>15</v>
      </c>
      <c r="B4" s="222" t="s">
        <v>7</v>
      </c>
      <c r="C4" s="223" t="s">
        <v>8</v>
      </c>
      <c r="D4" s="223" t="s">
        <v>9</v>
      </c>
      <c r="E4" s="223" t="s">
        <v>10</v>
      </c>
      <c r="G4" s="219" t="s">
        <v>16</v>
      </c>
    </row>
    <row r="5" spans="1:7">
      <c r="A5" s="220" t="s">
        <v>17</v>
      </c>
      <c r="B5" s="220" t="s">
        <v>18</v>
      </c>
      <c r="C5" t="s">
        <v>8</v>
      </c>
      <c r="D5" t="s">
        <v>9</v>
      </c>
      <c r="E5" t="s">
        <v>10</v>
      </c>
      <c r="G5" s="219" t="s">
        <v>19</v>
      </c>
    </row>
    <row r="6" spans="1:7">
      <c r="A6" s="220" t="s">
        <v>20</v>
      </c>
      <c r="B6" s="220" t="s">
        <v>18</v>
      </c>
      <c r="C6" t="s">
        <v>8</v>
      </c>
      <c r="D6" t="s">
        <v>9</v>
      </c>
      <c r="E6" t="s">
        <v>10</v>
      </c>
      <c r="G6" s="219" t="s">
        <v>21</v>
      </c>
    </row>
    <row r="7" spans="1:7">
      <c r="A7" s="220" t="s">
        <v>22</v>
      </c>
      <c r="B7" s="220" t="s">
        <v>18</v>
      </c>
      <c r="C7" t="s">
        <v>8</v>
      </c>
      <c r="D7" t="s">
        <v>9</v>
      </c>
      <c r="E7" t="s">
        <v>10</v>
      </c>
      <c r="G7" s="219" t="s">
        <v>23</v>
      </c>
    </row>
    <row r="8" spans="1:7">
      <c r="A8" s="222" t="s">
        <v>24</v>
      </c>
      <c r="B8" s="222" t="s">
        <v>18</v>
      </c>
      <c r="C8" s="223" t="s">
        <v>8</v>
      </c>
      <c r="D8" s="223" t="s">
        <v>25</v>
      </c>
      <c r="E8" s="224" t="s">
        <v>26</v>
      </c>
      <c r="G8" s="219" t="s">
        <v>27</v>
      </c>
    </row>
    <row r="9" spans="1:7">
      <c r="A9" s="220" t="s">
        <v>28</v>
      </c>
      <c r="B9" s="220" t="s">
        <v>18</v>
      </c>
      <c r="C9" t="s">
        <v>8</v>
      </c>
      <c r="D9" t="s">
        <v>25</v>
      </c>
      <c r="E9" s="191" t="s">
        <v>29</v>
      </c>
    </row>
    <row r="10" spans="1:7">
      <c r="A10" s="220" t="s">
        <v>30</v>
      </c>
      <c r="B10" s="220" t="s">
        <v>31</v>
      </c>
      <c r="C10" t="s">
        <v>32</v>
      </c>
      <c r="D10" t="s">
        <v>9</v>
      </c>
      <c r="E10" t="s">
        <v>10</v>
      </c>
    </row>
    <row r="11" spans="1:7">
      <c r="A11" s="220" t="s">
        <v>33</v>
      </c>
      <c r="B11" s="220" t="s">
        <v>31</v>
      </c>
      <c r="C11" t="s">
        <v>32</v>
      </c>
      <c r="D11" t="s">
        <v>9</v>
      </c>
      <c r="E11" t="s">
        <v>10</v>
      </c>
    </row>
    <row r="12" spans="1:7">
      <c r="A12" s="222" t="s">
        <v>34</v>
      </c>
      <c r="B12" s="222" t="s">
        <v>31</v>
      </c>
      <c r="C12" s="223" t="s">
        <v>32</v>
      </c>
      <c r="D12" s="223" t="s">
        <v>9</v>
      </c>
      <c r="E12" s="223" t="s">
        <v>10</v>
      </c>
    </row>
    <row r="13" spans="1:7">
      <c r="A13" s="220" t="s">
        <v>35</v>
      </c>
      <c r="B13" s="220" t="s">
        <v>31</v>
      </c>
      <c r="C13" t="s">
        <v>32</v>
      </c>
      <c r="D13" t="s">
        <v>25</v>
      </c>
      <c r="E13" s="191" t="s">
        <v>26</v>
      </c>
    </row>
    <row r="14" spans="1:7">
      <c r="A14" s="220" t="s">
        <v>36</v>
      </c>
      <c r="B14" s="220" t="s">
        <v>31</v>
      </c>
      <c r="C14" t="s">
        <v>32</v>
      </c>
      <c r="D14" t="s">
        <v>25</v>
      </c>
      <c r="E14" s="191" t="s">
        <v>29</v>
      </c>
    </row>
    <row r="15" spans="1:7">
      <c r="A15" s="220" t="s">
        <v>37</v>
      </c>
      <c r="B15" s="220" t="s">
        <v>38</v>
      </c>
      <c r="C15" t="s">
        <v>39</v>
      </c>
      <c r="D15" t="s">
        <v>9</v>
      </c>
      <c r="E15" t="s">
        <v>10</v>
      </c>
    </row>
    <row r="16" spans="1:7">
      <c r="A16" s="220" t="s">
        <v>40</v>
      </c>
      <c r="B16" s="220" t="s">
        <v>41</v>
      </c>
      <c r="C16" t="s">
        <v>39</v>
      </c>
      <c r="D16" t="s">
        <v>9</v>
      </c>
      <c r="E16" t="s">
        <v>10</v>
      </c>
    </row>
    <row r="17" spans="1:7">
      <c r="A17" s="220" t="s">
        <v>42</v>
      </c>
      <c r="B17" s="220" t="s">
        <v>38</v>
      </c>
      <c r="C17" t="s">
        <v>39</v>
      </c>
      <c r="D17" t="s">
        <v>9</v>
      </c>
      <c r="E17" t="s">
        <v>10</v>
      </c>
    </row>
    <row r="18" spans="1:7">
      <c r="A18" s="220" t="s">
        <v>43</v>
      </c>
      <c r="B18" s="220" t="s">
        <v>38</v>
      </c>
      <c r="C18" t="s">
        <v>39</v>
      </c>
      <c r="D18" t="s">
        <v>25</v>
      </c>
      <c r="E18" s="191" t="s">
        <v>26</v>
      </c>
    </row>
    <row r="19" spans="1:7">
      <c r="A19" s="220" t="s">
        <v>44</v>
      </c>
      <c r="B19" s="220" t="s">
        <v>45</v>
      </c>
      <c r="C19" t="s">
        <v>39</v>
      </c>
      <c r="D19" t="s">
        <v>25</v>
      </c>
      <c r="E19" s="191" t="s">
        <v>26</v>
      </c>
    </row>
    <row r="20" spans="1:7">
      <c r="A20" s="220" t="s">
        <v>46</v>
      </c>
      <c r="B20" s="220" t="s">
        <v>38</v>
      </c>
      <c r="C20" t="s">
        <v>39</v>
      </c>
      <c r="D20" t="s">
        <v>25</v>
      </c>
      <c r="E20" s="191" t="s">
        <v>26</v>
      </c>
    </row>
    <row r="21" spans="1:7">
      <c r="A21" s="220" t="s">
        <v>47</v>
      </c>
      <c r="B21" s="220" t="s">
        <v>31</v>
      </c>
      <c r="C21" t="s">
        <v>48</v>
      </c>
      <c r="D21" t="s">
        <v>25</v>
      </c>
      <c r="E21" s="191" t="s">
        <v>29</v>
      </c>
    </row>
    <row r="22" spans="1:7">
      <c r="A22" s="220" t="s">
        <v>49</v>
      </c>
      <c r="B22" s="220" t="s">
        <v>31</v>
      </c>
      <c r="C22" t="s">
        <v>48</v>
      </c>
      <c r="D22" t="s">
        <v>25</v>
      </c>
      <c r="E22" s="191" t="s">
        <v>29</v>
      </c>
    </row>
    <row r="23" spans="1:7">
      <c r="A23" s="220" t="s">
        <v>50</v>
      </c>
      <c r="B23" s="220" t="s">
        <v>51</v>
      </c>
      <c r="C23" t="s">
        <v>52</v>
      </c>
      <c r="D23" t="s">
        <v>25</v>
      </c>
      <c r="E23" s="191" t="s">
        <v>29</v>
      </c>
    </row>
    <row r="24" spans="1:7">
      <c r="A24" s="220" t="s">
        <v>53</v>
      </c>
      <c r="B24" s="220" t="s">
        <v>54</v>
      </c>
      <c r="C24" t="s">
        <v>39</v>
      </c>
      <c r="D24" t="s">
        <v>25</v>
      </c>
      <c r="E24" s="191" t="s">
        <v>29</v>
      </c>
    </row>
    <row r="25" spans="1:7">
      <c r="A25" s="220" t="s">
        <v>55</v>
      </c>
      <c r="B25" s="220" t="s">
        <v>51</v>
      </c>
      <c r="C25" t="s">
        <v>52</v>
      </c>
      <c r="D25" t="s">
        <v>9</v>
      </c>
      <c r="E25" t="s">
        <v>10</v>
      </c>
    </row>
    <row r="26" spans="1:7">
      <c r="A26" s="220" t="s">
        <v>56</v>
      </c>
      <c r="B26" s="220" t="s">
        <v>51</v>
      </c>
      <c r="C26" t="s">
        <v>52</v>
      </c>
      <c r="D26" t="s">
        <v>9</v>
      </c>
      <c r="E26" t="s">
        <v>10</v>
      </c>
    </row>
    <row r="27" spans="1:7">
      <c r="A27" s="220" t="s">
        <v>57</v>
      </c>
      <c r="B27" s="220" t="s">
        <v>51</v>
      </c>
      <c r="C27" t="s">
        <v>52</v>
      </c>
      <c r="D27" t="s">
        <v>9</v>
      </c>
      <c r="E27" t="s">
        <v>10</v>
      </c>
      <c r="G27"/>
    </row>
    <row r="28" spans="1:7">
      <c r="A28" s="220" t="s">
        <v>58</v>
      </c>
      <c r="B28" s="220" t="s">
        <v>51</v>
      </c>
      <c r="C28" t="s">
        <v>52</v>
      </c>
      <c r="D28" t="s">
        <v>9</v>
      </c>
      <c r="E28" t="s">
        <v>10</v>
      </c>
      <c r="G28"/>
    </row>
    <row r="29" spans="1:7">
      <c r="A29" s="220" t="s">
        <v>59</v>
      </c>
      <c r="B29" s="220" t="s">
        <v>51</v>
      </c>
      <c r="C29" t="s">
        <v>52</v>
      </c>
      <c r="D29" t="s">
        <v>25</v>
      </c>
      <c r="E29" s="191" t="s">
        <v>26</v>
      </c>
      <c r="G29"/>
    </row>
    <row r="30" spans="1:7">
      <c r="A30" s="220" t="s">
        <v>60</v>
      </c>
      <c r="B30" s="220" t="s">
        <v>51</v>
      </c>
      <c r="C30" t="s">
        <v>52</v>
      </c>
      <c r="D30" t="s">
        <v>25</v>
      </c>
      <c r="E30" s="191" t="s">
        <v>26</v>
      </c>
      <c r="G30"/>
    </row>
    <row r="31" spans="1:7">
      <c r="A31" s="220" t="s">
        <v>61</v>
      </c>
      <c r="B31" s="220" t="s">
        <v>62</v>
      </c>
      <c r="C31" t="s">
        <v>63</v>
      </c>
      <c r="D31" t="s">
        <v>9</v>
      </c>
      <c r="E31" t="s">
        <v>10</v>
      </c>
      <c r="G31"/>
    </row>
    <row r="32" spans="1:7">
      <c r="A32" s="220" t="s">
        <v>64</v>
      </c>
      <c r="B32" s="220" t="s">
        <v>62</v>
      </c>
      <c r="C32" t="s">
        <v>63</v>
      </c>
      <c r="D32" t="s">
        <v>25</v>
      </c>
      <c r="E32" s="191" t="s">
        <v>26</v>
      </c>
      <c r="G32"/>
    </row>
    <row r="33" spans="1:7">
      <c r="A33" s="220" t="s">
        <v>65</v>
      </c>
      <c r="B33" s="220" t="s">
        <v>66</v>
      </c>
      <c r="C33" t="s">
        <v>67</v>
      </c>
      <c r="D33" t="s">
        <v>9</v>
      </c>
      <c r="E33" t="s">
        <v>10</v>
      </c>
      <c r="G33"/>
    </row>
    <row r="34" spans="1:7">
      <c r="A34" t="s">
        <v>68</v>
      </c>
      <c r="B34" s="220" t="s">
        <v>69</v>
      </c>
      <c r="C34" t="s">
        <v>67</v>
      </c>
      <c r="D34" t="s">
        <v>9</v>
      </c>
      <c r="E34" t="s">
        <v>10</v>
      </c>
      <c r="G34"/>
    </row>
    <row r="35" spans="1:7">
      <c r="A35" s="220" t="s">
        <v>70</v>
      </c>
      <c r="B35" s="220" t="s">
        <v>66</v>
      </c>
      <c r="C35" t="s">
        <v>67</v>
      </c>
      <c r="D35" t="s">
        <v>25</v>
      </c>
      <c r="E35" s="191" t="s">
        <v>26</v>
      </c>
      <c r="G35"/>
    </row>
    <row r="36" spans="1:7">
      <c r="A36" t="s">
        <v>71</v>
      </c>
      <c r="B36" s="220" t="s">
        <v>72</v>
      </c>
      <c r="C36" t="s">
        <v>67</v>
      </c>
      <c r="D36" t="s">
        <v>25</v>
      </c>
      <c r="E36" s="191" t="s">
        <v>26</v>
      </c>
      <c r="G36"/>
    </row>
    <row r="37" spans="1:7">
      <c r="A37" t="s">
        <v>73</v>
      </c>
      <c r="B37" t="s">
        <v>74</v>
      </c>
      <c r="C37" t="s">
        <v>67</v>
      </c>
      <c r="D37" t="s">
        <v>25</v>
      </c>
      <c r="E37" s="191" t="s">
        <v>26</v>
      </c>
      <c r="G37"/>
    </row>
    <row r="38" spans="1:7">
      <c r="A38" s="223" t="s">
        <v>75</v>
      </c>
      <c r="B38" s="223" t="s">
        <v>76</v>
      </c>
      <c r="C38" s="223" t="s">
        <v>67</v>
      </c>
      <c r="D38" s="223" t="s">
        <v>25</v>
      </c>
      <c r="E38" s="224" t="s">
        <v>26</v>
      </c>
      <c r="G38"/>
    </row>
    <row r="39" spans="1:7">
      <c r="A39" s="223" t="s">
        <v>77</v>
      </c>
      <c r="B39" s="223" t="s">
        <v>78</v>
      </c>
      <c r="C39" s="223" t="s">
        <v>67</v>
      </c>
      <c r="D39" s="223" t="s">
        <v>25</v>
      </c>
      <c r="E39" s="224" t="s">
        <v>26</v>
      </c>
      <c r="G39"/>
    </row>
    <row r="40" spans="1:7">
      <c r="A40" t="s">
        <v>79</v>
      </c>
      <c r="B40" t="s">
        <v>74</v>
      </c>
      <c r="C40" t="s">
        <v>67</v>
      </c>
      <c r="D40" t="s">
        <v>25</v>
      </c>
      <c r="E40" s="191" t="s">
        <v>26</v>
      </c>
      <c r="G40"/>
    </row>
    <row r="41" spans="1:7">
      <c r="A41" t="s">
        <v>80</v>
      </c>
      <c r="B41" t="s">
        <v>78</v>
      </c>
      <c r="C41" t="s">
        <v>67</v>
      </c>
      <c r="D41" t="s">
        <v>25</v>
      </c>
      <c r="E41" s="191" t="s">
        <v>26</v>
      </c>
      <c r="G41"/>
    </row>
    <row r="42" spans="1:7">
      <c r="A42" t="s">
        <v>81</v>
      </c>
      <c r="B42" t="s">
        <v>82</v>
      </c>
      <c r="C42" t="s">
        <v>67</v>
      </c>
      <c r="D42" t="s">
        <v>9</v>
      </c>
      <c r="E42" t="s">
        <v>10</v>
      </c>
      <c r="G42"/>
    </row>
    <row r="43" spans="1:7">
      <c r="A43" t="s">
        <v>83</v>
      </c>
      <c r="B43" t="s">
        <v>82</v>
      </c>
      <c r="C43" t="s">
        <v>67</v>
      </c>
      <c r="D43" t="s">
        <v>9</v>
      </c>
      <c r="E43" t="s">
        <v>10</v>
      </c>
      <c r="G43"/>
    </row>
    <row r="44" spans="1:7">
      <c r="A44" t="s">
        <v>84</v>
      </c>
      <c r="B44" t="s">
        <v>82</v>
      </c>
      <c r="C44" t="s">
        <v>67</v>
      </c>
      <c r="D44" t="s">
        <v>9</v>
      </c>
      <c r="E44" t="s">
        <v>10</v>
      </c>
      <c r="G44"/>
    </row>
    <row r="45" spans="1:7">
      <c r="A45" t="s">
        <v>85</v>
      </c>
      <c r="B45" t="s">
        <v>82</v>
      </c>
      <c r="C45" t="s">
        <v>67</v>
      </c>
      <c r="D45" t="s">
        <v>9</v>
      </c>
      <c r="E45" t="s">
        <v>10</v>
      </c>
      <c r="G45"/>
    </row>
    <row r="46" spans="1:7">
      <c r="A46" t="s">
        <v>86</v>
      </c>
      <c r="B46" t="s">
        <v>87</v>
      </c>
      <c r="C46" t="s">
        <v>67</v>
      </c>
      <c r="D46" t="s">
        <v>9</v>
      </c>
      <c r="E46" t="s">
        <v>10</v>
      </c>
      <c r="G46"/>
    </row>
    <row r="47" spans="1:7">
      <c r="A47" t="s">
        <v>88</v>
      </c>
      <c r="B47" t="s">
        <v>89</v>
      </c>
      <c r="C47" t="s">
        <v>67</v>
      </c>
      <c r="D47" t="s">
        <v>9</v>
      </c>
      <c r="E47" t="s">
        <v>10</v>
      </c>
      <c r="G47"/>
    </row>
    <row r="48" spans="1:7">
      <c r="A48" t="s">
        <v>90</v>
      </c>
      <c r="B48" t="s">
        <v>91</v>
      </c>
      <c r="C48" t="s">
        <v>67</v>
      </c>
      <c r="D48" t="s">
        <v>9</v>
      </c>
      <c r="E48" t="s">
        <v>10</v>
      </c>
      <c r="G48"/>
    </row>
    <row r="49" spans="1:7">
      <c r="A49" s="220" t="s">
        <v>92</v>
      </c>
      <c r="B49" s="220" t="s">
        <v>51</v>
      </c>
      <c r="C49" t="s">
        <v>52</v>
      </c>
      <c r="D49" t="s">
        <v>25</v>
      </c>
      <c r="E49" s="191" t="s">
        <v>26</v>
      </c>
      <c r="G49"/>
    </row>
    <row r="50" spans="1:7">
      <c r="A50" s="220" t="s">
        <v>93</v>
      </c>
      <c r="B50" s="220" t="s">
        <v>18</v>
      </c>
      <c r="C50" t="s">
        <v>8</v>
      </c>
      <c r="D50" t="s">
        <v>25</v>
      </c>
      <c r="E50" s="191" t="s">
        <v>26</v>
      </c>
      <c r="G50"/>
    </row>
    <row r="51" spans="1:7">
      <c r="A51" s="220" t="s">
        <v>94</v>
      </c>
      <c r="B51" s="220" t="s">
        <v>38</v>
      </c>
      <c r="C51" t="s">
        <v>39</v>
      </c>
      <c r="D51" t="s">
        <v>25</v>
      </c>
      <c r="E51" s="191" t="s">
        <v>26</v>
      </c>
      <c r="G51"/>
    </row>
    <row r="52" spans="1:7">
      <c r="A52" s="191" t="s">
        <v>95</v>
      </c>
      <c r="B52" s="220" t="s">
        <v>72</v>
      </c>
      <c r="C52" s="191" t="s">
        <v>67</v>
      </c>
      <c r="D52" s="191" t="s">
        <v>9</v>
      </c>
      <c r="E52" s="191" t="s">
        <v>10</v>
      </c>
      <c r="G52"/>
    </row>
    <row r="53" spans="1:7">
      <c r="A53" s="220" t="s">
        <v>96</v>
      </c>
      <c r="B53" s="220" t="s">
        <v>31</v>
      </c>
      <c r="C53" t="s">
        <v>97</v>
      </c>
      <c r="D53" t="s">
        <v>25</v>
      </c>
      <c r="E53" s="191" t="s">
        <v>26</v>
      </c>
      <c r="G53"/>
    </row>
    <row r="54" spans="1:7">
      <c r="A54" t="s">
        <v>98</v>
      </c>
      <c r="B54" s="220" t="s">
        <v>31</v>
      </c>
      <c r="C54" t="s">
        <v>97</v>
      </c>
      <c r="E54" t="s">
        <v>10</v>
      </c>
      <c r="G54"/>
    </row>
    <row r="55" spans="1:7">
      <c r="B55" s="220"/>
      <c r="G55"/>
    </row>
    <row r="56" spans="1:7">
      <c r="G56"/>
    </row>
    <row r="57" spans="1:7">
      <c r="G57"/>
    </row>
    <row r="58" spans="1:7">
      <c r="G58"/>
    </row>
    <row r="59" spans="1:7">
      <c r="G59"/>
    </row>
    <row r="60" spans="1:7">
      <c r="G60"/>
    </row>
    <row r="61" spans="1:7">
      <c r="G61"/>
    </row>
    <row r="62" spans="1:7">
      <c r="G62"/>
    </row>
    <row r="63" spans="1:7">
      <c r="B63" s="191"/>
      <c r="G63"/>
    </row>
    <row r="64" spans="1:7">
      <c r="B64" s="191"/>
      <c r="G64"/>
    </row>
    <row r="65" spans="2:7">
      <c r="B65" s="191"/>
      <c r="G65"/>
    </row>
    <row r="66" spans="2:7">
      <c r="B66" s="191"/>
      <c r="G66"/>
    </row>
    <row r="67" spans="2:7">
      <c r="B67" s="191"/>
      <c r="G67"/>
    </row>
    <row r="68" spans="2:7">
      <c r="B68" s="191"/>
      <c r="G68"/>
    </row>
    <row r="69" spans="2:7">
      <c r="B69" s="225"/>
      <c r="G69"/>
    </row>
    <row r="70" spans="2:7">
      <c r="B70" s="191"/>
      <c r="G70"/>
    </row>
    <row r="71" spans="2:7">
      <c r="B71" s="226"/>
      <c r="G71"/>
    </row>
    <row r="72" spans="2:7">
      <c r="G72"/>
    </row>
    <row r="73" spans="2:7">
      <c r="B73" s="225"/>
      <c r="G73"/>
    </row>
    <row r="74" spans="2:7">
      <c r="B74" s="191"/>
      <c r="G74"/>
    </row>
    <row r="75" spans="2:7">
      <c r="B75" s="191"/>
      <c r="G75"/>
    </row>
    <row r="76" spans="2:7">
      <c r="B76" s="191"/>
      <c r="G76"/>
    </row>
    <row r="77" spans="2:7">
      <c r="B77" s="191"/>
      <c r="G77"/>
    </row>
    <row r="78" spans="2:7">
      <c r="G78"/>
    </row>
    <row r="79" spans="2:7">
      <c r="G79"/>
    </row>
    <row r="80" spans="2:7">
      <c r="G80"/>
    </row>
    <row r="81" spans="2:7">
      <c r="G81"/>
    </row>
    <row r="82" spans="2:7">
      <c r="G82"/>
    </row>
    <row r="83" spans="2:7">
      <c r="G83"/>
    </row>
    <row r="84" spans="2:7">
      <c r="G84"/>
    </row>
    <row r="85" spans="2:7">
      <c r="G85"/>
    </row>
    <row r="86" spans="2:7">
      <c r="G86"/>
    </row>
    <row r="87" spans="2:7">
      <c r="G87"/>
    </row>
    <row r="88" spans="2:7">
      <c r="G88"/>
    </row>
    <row r="89" spans="2:7">
      <c r="G89"/>
    </row>
    <row r="90" spans="2:7">
      <c r="G90"/>
    </row>
    <row r="91" spans="2:7">
      <c r="G91"/>
    </row>
    <row r="92" spans="2:7">
      <c r="B92" s="191"/>
      <c r="G92"/>
    </row>
    <row r="93" spans="2:7">
      <c r="B93" s="191"/>
      <c r="G93"/>
    </row>
    <row r="94" spans="2:7">
      <c r="G94"/>
    </row>
    <row r="95" spans="2:7">
      <c r="G95"/>
    </row>
    <row r="96" spans="2: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row r="258" spans="7:7">
      <c r="G258"/>
    </row>
    <row r="259" spans="7:7">
      <c r="G259"/>
    </row>
    <row r="260" spans="7:7">
      <c r="G260"/>
    </row>
    <row r="261" spans="7:7">
      <c r="G261"/>
    </row>
    <row r="262" spans="7:7">
      <c r="G262"/>
    </row>
    <row r="263" spans="7:7">
      <c r="G263"/>
    </row>
    <row r="264" spans="7:7">
      <c r="G264"/>
    </row>
    <row r="265" spans="7:7">
      <c r="G265"/>
    </row>
    <row r="266" spans="7:7">
      <c r="G266"/>
    </row>
    <row r="267" spans="7:7">
      <c r="G267"/>
    </row>
    <row r="268" spans="7:7">
      <c r="G268"/>
    </row>
    <row r="269" spans="7:7">
      <c r="G269"/>
    </row>
    <row r="270" spans="7:7">
      <c r="G270"/>
    </row>
    <row r="271" spans="7:7">
      <c r="G271"/>
    </row>
    <row r="272" spans="7:7">
      <c r="G272"/>
    </row>
    <row r="273" spans="7:7">
      <c r="G273"/>
    </row>
    <row r="274" spans="7:7">
      <c r="G274"/>
    </row>
    <row r="275" spans="7:7">
      <c r="G275"/>
    </row>
    <row r="276" spans="7:7">
      <c r="G276"/>
    </row>
    <row r="277" spans="7:7">
      <c r="G277"/>
    </row>
    <row r="278" spans="7:7">
      <c r="G278"/>
    </row>
    <row r="279" spans="7:7">
      <c r="G279"/>
    </row>
    <row r="280" spans="7:7">
      <c r="G280"/>
    </row>
    <row r="281" spans="7:7">
      <c r="G281"/>
    </row>
    <row r="282" spans="7:7">
      <c r="G282"/>
    </row>
    <row r="283" spans="7:7">
      <c r="G283"/>
    </row>
    <row r="284" spans="7:7">
      <c r="G284"/>
    </row>
    <row r="285" spans="7:7">
      <c r="G285"/>
    </row>
    <row r="286" spans="7:7">
      <c r="G286"/>
    </row>
    <row r="287" spans="7:7">
      <c r="G287"/>
    </row>
    <row r="288" spans="7:7">
      <c r="G288"/>
    </row>
    <row r="289" spans="7:7">
      <c r="G289"/>
    </row>
    <row r="290" spans="7:7">
      <c r="G290"/>
    </row>
    <row r="291" spans="7:7">
      <c r="G291"/>
    </row>
    <row r="292" spans="7:7">
      <c r="G292"/>
    </row>
    <row r="293" spans="7:7">
      <c r="G293"/>
    </row>
    <row r="294" spans="7:7">
      <c r="G294"/>
    </row>
    <row r="295" spans="7:7">
      <c r="G295"/>
    </row>
    <row r="296" spans="7:7">
      <c r="G296"/>
    </row>
    <row r="297" spans="7:7">
      <c r="G297"/>
    </row>
    <row r="298" spans="7:7">
      <c r="G298"/>
    </row>
    <row r="299" spans="7:7">
      <c r="G299"/>
    </row>
    <row r="300" spans="7:7">
      <c r="G300"/>
    </row>
    <row r="301" spans="7:7">
      <c r="G301"/>
    </row>
    <row r="302" spans="7:7">
      <c r="G302"/>
    </row>
    <row r="303" spans="7:7">
      <c r="G303"/>
    </row>
    <row r="304" spans="7:7">
      <c r="G304"/>
    </row>
    <row r="305" spans="7:7">
      <c r="G305"/>
    </row>
    <row r="306" spans="7:7">
      <c r="G306"/>
    </row>
    <row r="307" spans="7:7">
      <c r="G307"/>
    </row>
    <row r="308" spans="7:7">
      <c r="G308"/>
    </row>
    <row r="309" spans="7:7">
      <c r="G309"/>
    </row>
    <row r="310" spans="7:7">
      <c r="G310"/>
    </row>
    <row r="311" spans="7:7">
      <c r="G311"/>
    </row>
    <row r="312" spans="7:7">
      <c r="G312"/>
    </row>
    <row r="313" spans="7:7">
      <c r="G313"/>
    </row>
    <row r="314" spans="7:7">
      <c r="G314"/>
    </row>
    <row r="315" spans="7:7">
      <c r="G315"/>
    </row>
    <row r="316" spans="7:7">
      <c r="G316"/>
    </row>
    <row r="317" spans="7:7">
      <c r="G317"/>
    </row>
    <row r="318" spans="7:7">
      <c r="G318"/>
    </row>
    <row r="319" spans="7:7">
      <c r="G319"/>
    </row>
    <row r="320" spans="7:7">
      <c r="G320"/>
    </row>
    <row r="321" spans="7:7">
      <c r="G321"/>
    </row>
    <row r="322" spans="7:7">
      <c r="G322"/>
    </row>
    <row r="323" spans="7:7">
      <c r="G323"/>
    </row>
    <row r="324" spans="7:7">
      <c r="G324"/>
    </row>
    <row r="325" spans="7:7">
      <c r="G325"/>
    </row>
    <row r="326" spans="7:7">
      <c r="G326"/>
    </row>
    <row r="327" spans="7:7">
      <c r="G327"/>
    </row>
    <row r="328" spans="7:7">
      <c r="G328"/>
    </row>
    <row r="329" spans="7:7">
      <c r="G329"/>
    </row>
    <row r="330" spans="7:7">
      <c r="G330"/>
    </row>
    <row r="331" spans="7:7">
      <c r="G331"/>
    </row>
    <row r="332" spans="7:7">
      <c r="G332"/>
    </row>
    <row r="333" spans="7:7">
      <c r="G333"/>
    </row>
    <row r="334" spans="7:7">
      <c r="G334"/>
    </row>
    <row r="335" spans="7:7">
      <c r="G335"/>
    </row>
    <row r="336" spans="7:7">
      <c r="G336"/>
    </row>
    <row r="337" spans="7:7">
      <c r="G337"/>
    </row>
    <row r="338" spans="7:7">
      <c r="G338"/>
    </row>
    <row r="339" spans="7:7">
      <c r="G339"/>
    </row>
    <row r="340" spans="7:7">
      <c r="G340"/>
    </row>
    <row r="341" spans="7:7">
      <c r="G341"/>
    </row>
    <row r="342" spans="7:7">
      <c r="G342"/>
    </row>
    <row r="343" spans="7:7">
      <c r="G343"/>
    </row>
    <row r="344" spans="7:7">
      <c r="G344"/>
    </row>
    <row r="345" spans="7:7">
      <c r="G345"/>
    </row>
    <row r="346" spans="7:7">
      <c r="G346"/>
    </row>
    <row r="347" spans="7:7">
      <c r="G347"/>
    </row>
    <row r="348" spans="7:7">
      <c r="G348"/>
    </row>
    <row r="349" spans="7:7">
      <c r="G349"/>
    </row>
    <row r="350" spans="7:7">
      <c r="G350"/>
    </row>
    <row r="351" spans="7:7">
      <c r="G351"/>
    </row>
    <row r="352" spans="7:7">
      <c r="G352"/>
    </row>
    <row r="353" spans="7:7">
      <c r="G353"/>
    </row>
    <row r="354" spans="7:7">
      <c r="G354"/>
    </row>
    <row r="355" spans="7:7">
      <c r="G355"/>
    </row>
    <row r="356" spans="7:7">
      <c r="G356"/>
    </row>
    <row r="357" spans="7:7">
      <c r="G357"/>
    </row>
    <row r="358" spans="7:7">
      <c r="G358"/>
    </row>
    <row r="359" spans="7:7">
      <c r="G359"/>
    </row>
    <row r="360" spans="7:7">
      <c r="G360"/>
    </row>
    <row r="361" spans="7:7">
      <c r="G361"/>
    </row>
    <row r="362" spans="7:7">
      <c r="G362"/>
    </row>
    <row r="363" spans="7:7">
      <c r="G363"/>
    </row>
    <row r="364" spans="7:7">
      <c r="G364"/>
    </row>
    <row r="365" spans="7:7">
      <c r="G365"/>
    </row>
    <row r="366" spans="7:7">
      <c r="G366"/>
    </row>
    <row r="367" spans="7:7">
      <c r="G367"/>
    </row>
    <row r="368" spans="7:7">
      <c r="G368"/>
    </row>
    <row r="369" spans="7:7">
      <c r="G369"/>
    </row>
    <row r="370" spans="7:7">
      <c r="G370"/>
    </row>
    <row r="371" spans="7:7">
      <c r="G371"/>
    </row>
    <row r="372" spans="7:7">
      <c r="G372"/>
    </row>
    <row r="373" spans="7:7">
      <c r="G373"/>
    </row>
    <row r="374" spans="7:7">
      <c r="G374"/>
    </row>
    <row r="375" spans="7:7">
      <c r="G375"/>
    </row>
    <row r="376" spans="7:7">
      <c r="G376"/>
    </row>
    <row r="377" spans="7:7">
      <c r="G377"/>
    </row>
    <row r="378" spans="7:7">
      <c r="G378"/>
    </row>
    <row r="379" spans="7:7">
      <c r="G379"/>
    </row>
    <row r="380" spans="7:7">
      <c r="G380"/>
    </row>
    <row r="381" spans="7:7">
      <c r="G381"/>
    </row>
    <row r="382" spans="7:7">
      <c r="G382"/>
    </row>
    <row r="383" spans="7:7">
      <c r="G383"/>
    </row>
    <row r="384" spans="7:7">
      <c r="G384"/>
    </row>
    <row r="385" spans="7:7">
      <c r="G385"/>
    </row>
    <row r="386" spans="7:7">
      <c r="G386"/>
    </row>
    <row r="387" spans="7:7">
      <c r="G387"/>
    </row>
    <row r="388" spans="7:7">
      <c r="G388"/>
    </row>
    <row r="389" spans="7:7">
      <c r="G389"/>
    </row>
    <row r="390" spans="7:7">
      <c r="G390"/>
    </row>
    <row r="391" spans="7:7">
      <c r="G391"/>
    </row>
    <row r="392" spans="7:7">
      <c r="G392"/>
    </row>
    <row r="393" spans="7:7">
      <c r="G393"/>
    </row>
    <row r="394" spans="7:7">
      <c r="G394"/>
    </row>
    <row r="395" spans="7:7">
      <c r="G395"/>
    </row>
    <row r="396" spans="7:7">
      <c r="G396"/>
    </row>
    <row r="397" spans="7:7">
      <c r="G397"/>
    </row>
    <row r="398" spans="7:7">
      <c r="G398"/>
    </row>
    <row r="399" spans="7:7">
      <c r="G399"/>
    </row>
    <row r="400" spans="7:7">
      <c r="G400"/>
    </row>
    <row r="401" spans="7:7">
      <c r="G401"/>
    </row>
    <row r="402" spans="7:7">
      <c r="G402"/>
    </row>
    <row r="403" spans="7:7">
      <c r="G403"/>
    </row>
    <row r="404" spans="7:7">
      <c r="G404"/>
    </row>
    <row r="405" spans="7:7">
      <c r="G405"/>
    </row>
    <row r="406" spans="7:7">
      <c r="G406"/>
    </row>
    <row r="407" spans="7:7">
      <c r="G407"/>
    </row>
    <row r="408" spans="7:7">
      <c r="G408"/>
    </row>
    <row r="409" spans="7:7">
      <c r="G409"/>
    </row>
    <row r="410" spans="7:7">
      <c r="G410"/>
    </row>
    <row r="411" spans="7:7">
      <c r="G411"/>
    </row>
    <row r="412" spans="7:7">
      <c r="G412"/>
    </row>
    <row r="413" spans="7:7">
      <c r="G413"/>
    </row>
    <row r="414" spans="7:7">
      <c r="G414"/>
    </row>
    <row r="415" spans="7:7">
      <c r="G415"/>
    </row>
    <row r="416" spans="7:7">
      <c r="G416"/>
    </row>
    <row r="417" spans="7:7">
      <c r="G417"/>
    </row>
    <row r="418" spans="7:7">
      <c r="G418"/>
    </row>
    <row r="419" spans="7:7">
      <c r="G419"/>
    </row>
    <row r="420" spans="7:7">
      <c r="G420"/>
    </row>
    <row r="421" spans="7:7">
      <c r="G421"/>
    </row>
    <row r="422" spans="7:7">
      <c r="G422"/>
    </row>
    <row r="423" spans="7:7">
      <c r="G423"/>
    </row>
    <row r="424" spans="7:7">
      <c r="G424"/>
    </row>
    <row r="425" spans="7:7">
      <c r="G425"/>
    </row>
    <row r="426" spans="7:7">
      <c r="G426"/>
    </row>
    <row r="427" spans="7:7">
      <c r="G427"/>
    </row>
    <row r="428" spans="7:7">
      <c r="G428"/>
    </row>
    <row r="429" spans="7:7">
      <c r="G429"/>
    </row>
    <row r="430" spans="7:7">
      <c r="G430"/>
    </row>
    <row r="431" spans="7:7">
      <c r="G431"/>
    </row>
    <row r="432" spans="7:7">
      <c r="G432"/>
    </row>
    <row r="433" spans="7:7">
      <c r="G433"/>
    </row>
    <row r="434" spans="7:7">
      <c r="G434"/>
    </row>
    <row r="435" spans="7:7">
      <c r="G435"/>
    </row>
    <row r="436" spans="7:7">
      <c r="G436"/>
    </row>
    <row r="437" spans="7:7">
      <c r="G437"/>
    </row>
    <row r="438" spans="7:7">
      <c r="G438"/>
    </row>
    <row r="439" spans="7:7">
      <c r="G439"/>
    </row>
    <row r="440" spans="7:7">
      <c r="G440"/>
    </row>
    <row r="441" spans="7:7">
      <c r="G441"/>
    </row>
    <row r="442" spans="7:7">
      <c r="G442"/>
    </row>
    <row r="443" spans="7:7">
      <c r="G443"/>
    </row>
    <row r="444" spans="7:7">
      <c r="G444"/>
    </row>
    <row r="445" spans="7:7">
      <c r="G445"/>
    </row>
    <row r="446" spans="7:7">
      <c r="G446"/>
    </row>
    <row r="447" spans="7:7">
      <c r="G447"/>
    </row>
    <row r="448" spans="7:7">
      <c r="G448"/>
    </row>
    <row r="449" spans="7:7">
      <c r="G449"/>
    </row>
    <row r="450" spans="7:7">
      <c r="G450"/>
    </row>
    <row r="451" spans="7:7">
      <c r="G451"/>
    </row>
    <row r="452" spans="7:7">
      <c r="G452"/>
    </row>
    <row r="453" spans="7:7">
      <c r="G453"/>
    </row>
    <row r="454" spans="7:7">
      <c r="G454"/>
    </row>
    <row r="455" spans="7:7">
      <c r="G455"/>
    </row>
    <row r="456" spans="7:7">
      <c r="G456"/>
    </row>
    <row r="457" spans="7:7">
      <c r="G457"/>
    </row>
    <row r="458" spans="7:7">
      <c r="G458"/>
    </row>
    <row r="459" spans="7:7">
      <c r="G459"/>
    </row>
    <row r="460" spans="7:7">
      <c r="G460"/>
    </row>
    <row r="461" spans="7:7">
      <c r="G461"/>
    </row>
    <row r="462" spans="7:7">
      <c r="G462"/>
    </row>
    <row r="463" spans="7:7">
      <c r="G463"/>
    </row>
    <row r="464" spans="7:7">
      <c r="G464"/>
    </row>
    <row r="465" spans="7:7">
      <c r="G465"/>
    </row>
    <row r="466" spans="7:7">
      <c r="G466"/>
    </row>
    <row r="467" spans="7:7">
      <c r="G467"/>
    </row>
    <row r="468" spans="7:7">
      <c r="G468"/>
    </row>
    <row r="469" spans="7:7">
      <c r="G469"/>
    </row>
    <row r="470" spans="7:7">
      <c r="G470"/>
    </row>
    <row r="471" spans="7:7">
      <c r="G471"/>
    </row>
    <row r="472" spans="7:7">
      <c r="G472"/>
    </row>
    <row r="473" spans="7:7">
      <c r="G473"/>
    </row>
    <row r="474" spans="7:7">
      <c r="G474"/>
    </row>
    <row r="475" spans="7:7">
      <c r="G475"/>
    </row>
    <row r="476" spans="7:7">
      <c r="G476"/>
    </row>
    <row r="477" spans="7:7">
      <c r="G477"/>
    </row>
    <row r="478" spans="7:7">
      <c r="G478"/>
    </row>
    <row r="479" spans="7:7">
      <c r="G479"/>
    </row>
    <row r="480" spans="7:7">
      <c r="G480"/>
    </row>
    <row r="481" spans="7:7">
      <c r="G481"/>
    </row>
    <row r="482" spans="7:7">
      <c r="G482"/>
    </row>
    <row r="483" spans="7:7">
      <c r="G483"/>
    </row>
    <row r="484" spans="7:7">
      <c r="G484"/>
    </row>
    <row r="485" spans="7:7">
      <c r="G485"/>
    </row>
    <row r="486" spans="7:7">
      <c r="G486"/>
    </row>
    <row r="487" spans="7:7">
      <c r="G487"/>
    </row>
    <row r="488" spans="7:7">
      <c r="G488"/>
    </row>
    <row r="489" spans="7:7">
      <c r="G489"/>
    </row>
    <row r="490" spans="7:7">
      <c r="G490"/>
    </row>
    <row r="491" spans="7:7">
      <c r="G491"/>
    </row>
    <row r="492" spans="7:7">
      <c r="G492"/>
    </row>
    <row r="493" spans="7:7">
      <c r="G493"/>
    </row>
    <row r="494" spans="7:7">
      <c r="G494"/>
    </row>
    <row r="495" spans="7:7">
      <c r="G495"/>
    </row>
    <row r="496" spans="7:7">
      <c r="G496"/>
    </row>
    <row r="497" spans="7:7">
      <c r="G497"/>
    </row>
    <row r="498" spans="7:7">
      <c r="G498"/>
    </row>
    <row r="499" spans="7:7">
      <c r="G499"/>
    </row>
    <row r="500" spans="7:7">
      <c r="G500"/>
    </row>
    <row r="501" spans="7:7">
      <c r="G501"/>
    </row>
    <row r="502" spans="7:7">
      <c r="G502"/>
    </row>
    <row r="503" spans="7:7">
      <c r="G503"/>
    </row>
    <row r="504" spans="7:7">
      <c r="G504"/>
    </row>
    <row r="505" spans="7:7">
      <c r="G505"/>
    </row>
    <row r="506" spans="7:7">
      <c r="G506"/>
    </row>
    <row r="507" spans="7:7">
      <c r="G507"/>
    </row>
    <row r="508" spans="7:7">
      <c r="G508"/>
    </row>
    <row r="509" spans="7:7">
      <c r="G509"/>
    </row>
    <row r="510" spans="7:7">
      <c r="G510"/>
    </row>
    <row r="511" spans="7:7">
      <c r="G511"/>
    </row>
    <row r="512" spans="7:7">
      <c r="G512"/>
    </row>
    <row r="513" spans="7:7">
      <c r="G513"/>
    </row>
    <row r="514" spans="7:7">
      <c r="G514"/>
    </row>
    <row r="515" spans="7:7">
      <c r="G515"/>
    </row>
    <row r="516" spans="7:7">
      <c r="G516"/>
    </row>
    <row r="517" spans="7:7">
      <c r="G517"/>
    </row>
    <row r="518" spans="7:7">
      <c r="G518"/>
    </row>
    <row r="519" spans="7:7">
      <c r="G519"/>
    </row>
    <row r="520" spans="7:7">
      <c r="G520"/>
    </row>
    <row r="521" spans="7:7">
      <c r="G521"/>
    </row>
    <row r="522" spans="7:7">
      <c r="G522"/>
    </row>
    <row r="523" spans="7:7">
      <c r="G523"/>
    </row>
    <row r="524" spans="7:7">
      <c r="G524"/>
    </row>
    <row r="525" spans="7:7">
      <c r="G525"/>
    </row>
    <row r="526" spans="7:7">
      <c r="G526"/>
    </row>
    <row r="527" spans="7:7">
      <c r="G527"/>
    </row>
    <row r="528" spans="7:7">
      <c r="G528"/>
    </row>
    <row r="529" spans="7:7">
      <c r="G529"/>
    </row>
    <row r="530" spans="7:7">
      <c r="G530"/>
    </row>
    <row r="531" spans="7:7">
      <c r="G531"/>
    </row>
    <row r="532" spans="7:7">
      <c r="G532"/>
    </row>
    <row r="533" spans="7:7">
      <c r="G533"/>
    </row>
    <row r="534" spans="7:7">
      <c r="G534"/>
    </row>
    <row r="535" spans="7:7">
      <c r="G535"/>
    </row>
    <row r="536" spans="7:7">
      <c r="G536"/>
    </row>
    <row r="537" spans="7:7">
      <c r="G537"/>
    </row>
    <row r="538" spans="7:7">
      <c r="G538"/>
    </row>
    <row r="539" spans="7:7">
      <c r="G539"/>
    </row>
    <row r="540" spans="7:7">
      <c r="G540"/>
    </row>
    <row r="541" spans="7:7">
      <c r="G541"/>
    </row>
    <row r="542" spans="7:7">
      <c r="G542"/>
    </row>
    <row r="543" spans="7:7">
      <c r="G543"/>
    </row>
    <row r="544" spans="7:7">
      <c r="G544"/>
    </row>
    <row r="545" spans="7:7">
      <c r="G545"/>
    </row>
    <row r="546" spans="7:7">
      <c r="G546"/>
    </row>
    <row r="547" spans="7:7">
      <c r="G547"/>
    </row>
    <row r="548" spans="7:7">
      <c r="G548"/>
    </row>
    <row r="549" spans="7:7">
      <c r="G549"/>
    </row>
    <row r="550" spans="7:7">
      <c r="G550"/>
    </row>
    <row r="551" spans="7:7">
      <c r="G551"/>
    </row>
    <row r="552" spans="7:7">
      <c r="G552"/>
    </row>
    <row r="553" spans="7:7">
      <c r="G553"/>
    </row>
    <row r="554" spans="7:7">
      <c r="G554"/>
    </row>
    <row r="555" spans="7:7">
      <c r="G555"/>
    </row>
    <row r="556" spans="7:7">
      <c r="G556"/>
    </row>
    <row r="557" spans="7:7">
      <c r="G557"/>
    </row>
    <row r="558" spans="7:7">
      <c r="G558"/>
    </row>
    <row r="559" spans="7:7">
      <c r="G559"/>
    </row>
    <row r="560" spans="7:7">
      <c r="G560"/>
    </row>
    <row r="561" spans="7:7">
      <c r="G561"/>
    </row>
    <row r="562" spans="7:7">
      <c r="G562"/>
    </row>
    <row r="563" spans="7:7">
      <c r="G563"/>
    </row>
    <row r="564" spans="7:7">
      <c r="G564"/>
    </row>
    <row r="565" spans="7:7">
      <c r="G565"/>
    </row>
    <row r="566" spans="7:7">
      <c r="G566"/>
    </row>
    <row r="567" spans="7:7">
      <c r="G567"/>
    </row>
    <row r="568" spans="7:7">
      <c r="G568"/>
    </row>
    <row r="569" spans="7:7">
      <c r="G569"/>
    </row>
    <row r="570" spans="7:7">
      <c r="G570"/>
    </row>
    <row r="571" spans="7:7">
      <c r="G571"/>
    </row>
    <row r="572" spans="7:7">
      <c r="G572"/>
    </row>
    <row r="573" spans="7:7">
      <c r="G573"/>
    </row>
    <row r="574" spans="7:7">
      <c r="G574"/>
    </row>
    <row r="575" spans="7:7">
      <c r="G575"/>
    </row>
    <row r="576" spans="7:7">
      <c r="G576"/>
    </row>
    <row r="577" spans="7:7">
      <c r="G577"/>
    </row>
    <row r="578" spans="7:7">
      <c r="G578"/>
    </row>
    <row r="579" spans="7:7">
      <c r="G579"/>
    </row>
    <row r="580" spans="7:7">
      <c r="G580"/>
    </row>
    <row r="581" spans="7:7">
      <c r="G581"/>
    </row>
    <row r="582" spans="7:7">
      <c r="G582"/>
    </row>
    <row r="583" spans="7:7">
      <c r="G583"/>
    </row>
    <row r="584" spans="7:7">
      <c r="G584"/>
    </row>
    <row r="585" spans="7:7">
      <c r="G585"/>
    </row>
    <row r="586" spans="7:7">
      <c r="G586"/>
    </row>
    <row r="587" spans="7:7">
      <c r="G587"/>
    </row>
    <row r="588" spans="7:7">
      <c r="G588"/>
    </row>
    <row r="589" spans="7:7">
      <c r="G589"/>
    </row>
    <row r="590" spans="7:7">
      <c r="G590"/>
    </row>
    <row r="591" spans="7:7">
      <c r="G591"/>
    </row>
    <row r="592" spans="7:7">
      <c r="G592"/>
    </row>
    <row r="593" spans="7:7">
      <c r="G593"/>
    </row>
    <row r="594" spans="7:7">
      <c r="G594"/>
    </row>
    <row r="595" spans="7:7">
      <c r="G595"/>
    </row>
    <row r="596" spans="7:7">
      <c r="G596"/>
    </row>
    <row r="597" spans="7:7">
      <c r="G597"/>
    </row>
    <row r="598" spans="7:7">
      <c r="G598"/>
    </row>
    <row r="599" spans="7:7">
      <c r="G599"/>
    </row>
    <row r="600" spans="7:7">
      <c r="G600"/>
    </row>
    <row r="601" spans="7:7">
      <c r="G601"/>
    </row>
    <row r="602" spans="7:7">
      <c r="G602"/>
    </row>
    <row r="603" spans="7:7">
      <c r="G603"/>
    </row>
    <row r="604" spans="7:7">
      <c r="G604"/>
    </row>
    <row r="605" spans="7:7">
      <c r="G605"/>
    </row>
    <row r="606" spans="7:7">
      <c r="G606"/>
    </row>
    <row r="607" spans="7:7">
      <c r="G607"/>
    </row>
    <row r="608" spans="7:7">
      <c r="G608"/>
    </row>
    <row r="609" spans="7:7">
      <c r="G609"/>
    </row>
    <row r="610" spans="7:7">
      <c r="G610"/>
    </row>
    <row r="611" spans="7:7">
      <c r="G611"/>
    </row>
    <row r="612" spans="7:7">
      <c r="G612"/>
    </row>
    <row r="613" spans="7:7">
      <c r="G613"/>
    </row>
    <row r="614" spans="7:7">
      <c r="G614"/>
    </row>
    <row r="615" spans="7:7">
      <c r="G615"/>
    </row>
    <row r="616" spans="7:7">
      <c r="G616"/>
    </row>
    <row r="617" spans="7:7">
      <c r="G617"/>
    </row>
    <row r="618" spans="7:7">
      <c r="G618"/>
    </row>
    <row r="619" spans="7:7">
      <c r="G619"/>
    </row>
    <row r="620" spans="7:7">
      <c r="G620"/>
    </row>
    <row r="621" spans="7:7">
      <c r="G621"/>
    </row>
    <row r="622" spans="7:7">
      <c r="G622"/>
    </row>
    <row r="623" spans="7:7">
      <c r="G623"/>
    </row>
    <row r="624" spans="7:7">
      <c r="G624"/>
    </row>
    <row r="625" spans="7:7">
      <c r="G625"/>
    </row>
    <row r="626" spans="7:7">
      <c r="G626"/>
    </row>
    <row r="627" spans="7:7">
      <c r="G627"/>
    </row>
    <row r="628" spans="7:7">
      <c r="G628"/>
    </row>
    <row r="629" spans="7:7">
      <c r="G629"/>
    </row>
    <row r="630" spans="7:7">
      <c r="G630"/>
    </row>
    <row r="631" spans="7:7">
      <c r="G631"/>
    </row>
    <row r="632" spans="7:7">
      <c r="G632"/>
    </row>
    <row r="633" spans="7:7">
      <c r="G633"/>
    </row>
    <row r="634" spans="7:7">
      <c r="G634"/>
    </row>
    <row r="635" spans="7:7">
      <c r="G635"/>
    </row>
    <row r="636" spans="7:7">
      <c r="G636"/>
    </row>
    <row r="637" spans="7:7">
      <c r="G637"/>
    </row>
    <row r="638" spans="7:7">
      <c r="G638"/>
    </row>
    <row r="639" spans="7:7">
      <c r="G639"/>
    </row>
    <row r="640" spans="7:7">
      <c r="G640"/>
    </row>
    <row r="641" spans="7:7">
      <c r="G641"/>
    </row>
    <row r="642" spans="7:7">
      <c r="G642"/>
    </row>
    <row r="643" spans="7:7">
      <c r="G643"/>
    </row>
    <row r="644" spans="7:7">
      <c r="G644"/>
    </row>
    <row r="645" spans="7:7">
      <c r="G645"/>
    </row>
    <row r="646" spans="7:7">
      <c r="G646"/>
    </row>
    <row r="647" spans="7:7">
      <c r="G647"/>
    </row>
    <row r="648" spans="7:7">
      <c r="G648"/>
    </row>
    <row r="649" spans="7:7">
      <c r="G649"/>
    </row>
    <row r="650" spans="7:7">
      <c r="G650"/>
    </row>
    <row r="651" spans="7:7">
      <c r="G651"/>
    </row>
    <row r="652" spans="7:7">
      <c r="G652"/>
    </row>
    <row r="653" spans="7:7">
      <c r="G653"/>
    </row>
    <row r="654" spans="7:7">
      <c r="G654"/>
    </row>
    <row r="655" spans="7:7">
      <c r="G655"/>
    </row>
    <row r="656" spans="7:7">
      <c r="G656"/>
    </row>
    <row r="657" spans="7:7">
      <c r="G657"/>
    </row>
    <row r="658" spans="7:7">
      <c r="G658"/>
    </row>
    <row r="659" spans="7:7">
      <c r="G659"/>
    </row>
    <row r="660" spans="7:7">
      <c r="G660"/>
    </row>
    <row r="661" spans="7:7">
      <c r="G661"/>
    </row>
    <row r="662" spans="7:7">
      <c r="G662"/>
    </row>
    <row r="663" spans="7:7">
      <c r="G663"/>
    </row>
    <row r="664" spans="7:7">
      <c r="G664"/>
    </row>
    <row r="665" spans="7:7">
      <c r="G665"/>
    </row>
    <row r="666" spans="7:7">
      <c r="G666"/>
    </row>
    <row r="667" spans="7:7">
      <c r="G667"/>
    </row>
    <row r="668" spans="7:7">
      <c r="G668"/>
    </row>
    <row r="669" spans="7:7">
      <c r="G669"/>
    </row>
    <row r="670" spans="7:7">
      <c r="G670"/>
    </row>
    <row r="671" spans="7:7">
      <c r="G671"/>
    </row>
    <row r="672" spans="7:7">
      <c r="G672"/>
    </row>
    <row r="673" spans="7:7">
      <c r="G673"/>
    </row>
    <row r="674" spans="7:7">
      <c r="G674"/>
    </row>
    <row r="675" spans="7:7">
      <c r="G675"/>
    </row>
    <row r="676" spans="7:7">
      <c r="G676"/>
    </row>
    <row r="677" spans="7:7">
      <c r="G677"/>
    </row>
    <row r="678" spans="7:7">
      <c r="G678"/>
    </row>
    <row r="679" spans="7:7">
      <c r="G679"/>
    </row>
    <row r="680" spans="7:7">
      <c r="G680"/>
    </row>
    <row r="681" spans="7:7">
      <c r="G681"/>
    </row>
    <row r="682" spans="7:7">
      <c r="G682"/>
    </row>
    <row r="683" spans="7:7">
      <c r="G683"/>
    </row>
    <row r="684" spans="7:7">
      <c r="G684"/>
    </row>
    <row r="685" spans="7:7">
      <c r="G685"/>
    </row>
    <row r="686" spans="7:7">
      <c r="G686"/>
    </row>
    <row r="687" spans="7:7">
      <c r="G687"/>
    </row>
    <row r="688" spans="7:7">
      <c r="G688"/>
    </row>
    <row r="689" spans="7:7">
      <c r="G689"/>
    </row>
    <row r="690" spans="7:7">
      <c r="G690"/>
    </row>
    <row r="691" spans="7:7">
      <c r="G691"/>
    </row>
    <row r="692" spans="7:7">
      <c r="G692"/>
    </row>
    <row r="693" spans="7:7">
      <c r="G693"/>
    </row>
    <row r="694" spans="7:7">
      <c r="G694"/>
    </row>
    <row r="695" spans="7:7">
      <c r="G695"/>
    </row>
    <row r="696" spans="7:7">
      <c r="G696"/>
    </row>
    <row r="697" spans="7:7">
      <c r="G697"/>
    </row>
    <row r="698" spans="7:7">
      <c r="G698"/>
    </row>
    <row r="699" spans="7:7">
      <c r="G699"/>
    </row>
    <row r="700" spans="7:7">
      <c r="G700"/>
    </row>
    <row r="701" spans="7:7">
      <c r="G701"/>
    </row>
    <row r="702" spans="7:7">
      <c r="G702"/>
    </row>
    <row r="703" spans="7:7">
      <c r="G703"/>
    </row>
    <row r="704" spans="7:7">
      <c r="G704"/>
    </row>
    <row r="705" spans="7:7">
      <c r="G705"/>
    </row>
    <row r="706" spans="7:7">
      <c r="G706"/>
    </row>
    <row r="707" spans="7:7">
      <c r="G707"/>
    </row>
    <row r="708" spans="7:7">
      <c r="G708"/>
    </row>
    <row r="709" spans="7:7">
      <c r="G709"/>
    </row>
    <row r="710" spans="7:7">
      <c r="G710"/>
    </row>
    <row r="711" spans="7:7">
      <c r="G711"/>
    </row>
    <row r="712" spans="7:7">
      <c r="G712"/>
    </row>
    <row r="713" spans="7:7">
      <c r="G713"/>
    </row>
    <row r="714" spans="7:7">
      <c r="G714"/>
    </row>
    <row r="715" spans="7:7">
      <c r="G715"/>
    </row>
    <row r="716" spans="7:7">
      <c r="G716"/>
    </row>
    <row r="717" spans="7:7">
      <c r="G717"/>
    </row>
    <row r="718" spans="7:7">
      <c r="G718"/>
    </row>
    <row r="719" spans="7:7">
      <c r="G719"/>
    </row>
    <row r="720" spans="7:7">
      <c r="G720"/>
    </row>
    <row r="721" spans="7:7">
      <c r="G721"/>
    </row>
    <row r="722" spans="7:7">
      <c r="G722"/>
    </row>
    <row r="723" spans="7:7">
      <c r="G723"/>
    </row>
    <row r="724" spans="7:7">
      <c r="G724"/>
    </row>
    <row r="725" spans="7:7">
      <c r="G725"/>
    </row>
    <row r="726" spans="7:7">
      <c r="G726"/>
    </row>
    <row r="727" spans="7:7">
      <c r="G727"/>
    </row>
    <row r="728" spans="7:7">
      <c r="G728"/>
    </row>
    <row r="729" spans="7:7">
      <c r="G729"/>
    </row>
    <row r="730" spans="7:7">
      <c r="G730"/>
    </row>
    <row r="731" spans="7:7">
      <c r="G731"/>
    </row>
    <row r="732" spans="7:7">
      <c r="G732"/>
    </row>
    <row r="733" spans="7:7">
      <c r="G733"/>
    </row>
    <row r="734" spans="7:7">
      <c r="G734"/>
    </row>
    <row r="735" spans="7:7">
      <c r="G735"/>
    </row>
    <row r="736" spans="7:7">
      <c r="G736"/>
    </row>
    <row r="737" spans="7:7">
      <c r="G737"/>
    </row>
    <row r="738" spans="7:7">
      <c r="G738"/>
    </row>
    <row r="739" spans="7:7">
      <c r="G739"/>
    </row>
    <row r="740" spans="7:7">
      <c r="G740"/>
    </row>
    <row r="741" spans="7:7">
      <c r="G741"/>
    </row>
    <row r="742" spans="7:7">
      <c r="G742"/>
    </row>
    <row r="743" spans="7:7">
      <c r="G743"/>
    </row>
    <row r="744" spans="7:7">
      <c r="G744"/>
    </row>
    <row r="745" spans="7:7">
      <c r="G745"/>
    </row>
    <row r="746" spans="7:7">
      <c r="G746"/>
    </row>
    <row r="747" spans="7:7">
      <c r="G747"/>
    </row>
    <row r="748" spans="7:7">
      <c r="G748"/>
    </row>
    <row r="749" spans="7:7">
      <c r="G749"/>
    </row>
    <row r="750" spans="7:7">
      <c r="G750"/>
    </row>
    <row r="751" spans="7:7">
      <c r="G751"/>
    </row>
    <row r="752" spans="7:7">
      <c r="G752"/>
    </row>
    <row r="753" spans="7:7">
      <c r="G753"/>
    </row>
    <row r="754" spans="7:7">
      <c r="G754"/>
    </row>
    <row r="755" spans="7:7">
      <c r="G755"/>
    </row>
    <row r="756" spans="7:7">
      <c r="G756"/>
    </row>
    <row r="757" spans="7:7">
      <c r="G757"/>
    </row>
    <row r="758" spans="7:7">
      <c r="G758"/>
    </row>
    <row r="759" spans="7:7">
      <c r="G759"/>
    </row>
    <row r="760" spans="7:7">
      <c r="G760"/>
    </row>
    <row r="761" spans="7:7">
      <c r="G761"/>
    </row>
    <row r="762" spans="7:7">
      <c r="G762"/>
    </row>
    <row r="763" spans="7:7">
      <c r="G763"/>
    </row>
    <row r="764" spans="7:7">
      <c r="G764"/>
    </row>
    <row r="765" spans="7:7">
      <c r="G765"/>
    </row>
    <row r="766" spans="7:7">
      <c r="G766"/>
    </row>
    <row r="767" spans="7:7">
      <c r="G767"/>
    </row>
    <row r="768" spans="7:7">
      <c r="G768"/>
    </row>
    <row r="769" spans="7:7">
      <c r="G769"/>
    </row>
    <row r="770" spans="7:7">
      <c r="G770"/>
    </row>
    <row r="771" spans="7:7">
      <c r="G771"/>
    </row>
    <row r="772" spans="7:7">
      <c r="G772"/>
    </row>
    <row r="773" spans="7:7">
      <c r="G773"/>
    </row>
    <row r="774" spans="7:7">
      <c r="G774"/>
    </row>
    <row r="775" spans="7:7">
      <c r="G775"/>
    </row>
    <row r="776" spans="7:7">
      <c r="G776"/>
    </row>
    <row r="777" spans="7:7">
      <c r="G777"/>
    </row>
    <row r="778" spans="7:7">
      <c r="G778"/>
    </row>
    <row r="779" spans="7:7">
      <c r="G779"/>
    </row>
    <row r="780" spans="7:7">
      <c r="G780"/>
    </row>
    <row r="781" spans="7:7">
      <c r="G781"/>
    </row>
    <row r="782" spans="7:7">
      <c r="G782"/>
    </row>
    <row r="783" spans="7:7">
      <c r="G783"/>
    </row>
    <row r="784" spans="7:7">
      <c r="G784"/>
    </row>
    <row r="785" spans="7:7">
      <c r="G785"/>
    </row>
    <row r="786" spans="7:7">
      <c r="G786"/>
    </row>
    <row r="787" spans="7:7">
      <c r="G787"/>
    </row>
    <row r="788" spans="7:7">
      <c r="G788"/>
    </row>
    <row r="789" spans="7:7">
      <c r="G789"/>
    </row>
    <row r="790" spans="7:7">
      <c r="G790"/>
    </row>
    <row r="791" spans="7:7">
      <c r="G791"/>
    </row>
    <row r="792" spans="7:7">
      <c r="G792"/>
    </row>
    <row r="793" spans="7:7">
      <c r="G793"/>
    </row>
    <row r="794" spans="7:7">
      <c r="G794"/>
    </row>
    <row r="795" spans="7:7">
      <c r="G795"/>
    </row>
    <row r="796" spans="7:7">
      <c r="G796"/>
    </row>
    <row r="797" spans="7:7">
      <c r="G797"/>
    </row>
    <row r="798" spans="7:7">
      <c r="G798"/>
    </row>
    <row r="799" spans="7:7">
      <c r="G799"/>
    </row>
    <row r="800" spans="7:7">
      <c r="G800"/>
    </row>
    <row r="801" spans="7:7">
      <c r="G801"/>
    </row>
    <row r="802" spans="7:7">
      <c r="G802"/>
    </row>
    <row r="803" spans="7:7">
      <c r="G803"/>
    </row>
    <row r="804" spans="7:7">
      <c r="G804"/>
    </row>
    <row r="805" spans="7:7">
      <c r="G805"/>
    </row>
    <row r="806" spans="7:7">
      <c r="G806"/>
    </row>
    <row r="807" spans="7:7">
      <c r="G807"/>
    </row>
    <row r="808" spans="7:7">
      <c r="G808"/>
    </row>
    <row r="809" spans="7:7">
      <c r="G809"/>
    </row>
    <row r="810" spans="7:7">
      <c r="G810"/>
    </row>
    <row r="811" spans="7:7">
      <c r="G811"/>
    </row>
    <row r="812" spans="7:7">
      <c r="G812"/>
    </row>
    <row r="813" spans="7:7">
      <c r="G813"/>
    </row>
    <row r="814" spans="7:7">
      <c r="G814"/>
    </row>
    <row r="815" spans="7:7">
      <c r="G815"/>
    </row>
    <row r="816" spans="7:7">
      <c r="G816"/>
    </row>
    <row r="817" spans="7:7">
      <c r="G817"/>
    </row>
    <row r="818" spans="7:7">
      <c r="G818"/>
    </row>
    <row r="819" spans="7:7">
      <c r="G819"/>
    </row>
    <row r="820" spans="7:7">
      <c r="G820"/>
    </row>
    <row r="821" spans="7:7">
      <c r="G821"/>
    </row>
    <row r="822" spans="7:7">
      <c r="G822"/>
    </row>
    <row r="823" spans="7:7">
      <c r="G823"/>
    </row>
    <row r="824" spans="7:7">
      <c r="G824"/>
    </row>
    <row r="825" spans="7:7">
      <c r="G825"/>
    </row>
    <row r="826" spans="7:7">
      <c r="G826"/>
    </row>
    <row r="827" spans="7:7">
      <c r="G827"/>
    </row>
    <row r="828" spans="7:7">
      <c r="G828"/>
    </row>
    <row r="829" spans="7:7">
      <c r="G829"/>
    </row>
    <row r="830" spans="7:7">
      <c r="G830"/>
    </row>
    <row r="831" spans="7:7">
      <c r="G831"/>
    </row>
    <row r="832" spans="7:7">
      <c r="G832"/>
    </row>
    <row r="833" spans="7:7">
      <c r="G833"/>
    </row>
    <row r="834" spans="7:7">
      <c r="G834"/>
    </row>
    <row r="835" spans="7:7">
      <c r="G835"/>
    </row>
    <row r="836" spans="7:7">
      <c r="G836"/>
    </row>
    <row r="837" spans="7:7">
      <c r="G837"/>
    </row>
    <row r="838" spans="7:7">
      <c r="G838"/>
    </row>
    <row r="839" spans="7:7">
      <c r="G839"/>
    </row>
    <row r="840" spans="7:7">
      <c r="G840"/>
    </row>
    <row r="841" spans="7:7">
      <c r="G841"/>
    </row>
    <row r="842" spans="7:7">
      <c r="G842"/>
    </row>
    <row r="843" spans="7:7">
      <c r="G843"/>
    </row>
    <row r="844" spans="7:7">
      <c r="G844"/>
    </row>
    <row r="845" spans="7:7">
      <c r="G845"/>
    </row>
    <row r="846" spans="7:7">
      <c r="G846"/>
    </row>
    <row r="847" spans="7:7">
      <c r="G847"/>
    </row>
    <row r="848" spans="7:7">
      <c r="G848"/>
    </row>
    <row r="849" spans="7:7">
      <c r="G849"/>
    </row>
    <row r="850" spans="7:7">
      <c r="G850"/>
    </row>
    <row r="851" spans="7:7">
      <c r="G851"/>
    </row>
    <row r="852" spans="7:7">
      <c r="G852"/>
    </row>
    <row r="853" spans="7:7">
      <c r="G853"/>
    </row>
    <row r="854" spans="7:7">
      <c r="G854"/>
    </row>
    <row r="855" spans="7:7">
      <c r="G855"/>
    </row>
    <row r="856" spans="7:7">
      <c r="G856"/>
    </row>
    <row r="857" spans="7:7">
      <c r="G857"/>
    </row>
    <row r="858" spans="7:7">
      <c r="G858"/>
    </row>
    <row r="859" spans="7:7">
      <c r="G859"/>
    </row>
    <row r="860" spans="7:7">
      <c r="G860"/>
    </row>
    <row r="861" spans="7:7">
      <c r="G861"/>
    </row>
    <row r="862" spans="7:7">
      <c r="G862"/>
    </row>
    <row r="863" spans="7:7">
      <c r="G863"/>
    </row>
    <row r="864" spans="7:7">
      <c r="G864"/>
    </row>
    <row r="865" spans="7:7">
      <c r="G865"/>
    </row>
    <row r="866" spans="7:7">
      <c r="G866"/>
    </row>
    <row r="867" spans="7:7">
      <c r="G867"/>
    </row>
    <row r="868" spans="7:7">
      <c r="G868"/>
    </row>
    <row r="869" spans="7:7">
      <c r="G869"/>
    </row>
    <row r="870" spans="7:7">
      <c r="G870"/>
    </row>
    <row r="871" spans="7:7">
      <c r="G871"/>
    </row>
    <row r="872" spans="7:7">
      <c r="G872"/>
    </row>
    <row r="873" spans="7:7">
      <c r="G873"/>
    </row>
    <row r="874" spans="7:7">
      <c r="G874"/>
    </row>
    <row r="875" spans="7:7">
      <c r="G875"/>
    </row>
    <row r="876" spans="7:7">
      <c r="G876"/>
    </row>
    <row r="877" spans="7:7">
      <c r="G877"/>
    </row>
    <row r="878" spans="7:7">
      <c r="G878"/>
    </row>
    <row r="879" spans="7:7">
      <c r="G879"/>
    </row>
    <row r="880" spans="7:7">
      <c r="G880"/>
    </row>
    <row r="881" spans="7:7">
      <c r="G881"/>
    </row>
    <row r="882" spans="7:7">
      <c r="G882"/>
    </row>
    <row r="883" spans="7:7">
      <c r="G883"/>
    </row>
    <row r="884" spans="7:7">
      <c r="G884"/>
    </row>
    <row r="885" spans="7:7">
      <c r="G885"/>
    </row>
    <row r="886" spans="7:7">
      <c r="G886"/>
    </row>
    <row r="887" spans="7:7">
      <c r="G887"/>
    </row>
    <row r="888" spans="7:7">
      <c r="G888"/>
    </row>
    <row r="889" spans="7:7">
      <c r="G889"/>
    </row>
    <row r="890" spans="7:7">
      <c r="G890"/>
    </row>
    <row r="891" spans="7:7">
      <c r="G891"/>
    </row>
    <row r="892" spans="7:7">
      <c r="G892"/>
    </row>
    <row r="893" spans="7:7">
      <c r="G893"/>
    </row>
    <row r="894" spans="7:7">
      <c r="G894"/>
    </row>
    <row r="895" spans="7:7">
      <c r="G895"/>
    </row>
    <row r="896" spans="7:7">
      <c r="G896"/>
    </row>
    <row r="897" spans="7:7">
      <c r="G897"/>
    </row>
    <row r="898" spans="7:7">
      <c r="G898"/>
    </row>
    <row r="899" spans="7:7">
      <c r="G899"/>
    </row>
    <row r="900" spans="7:7">
      <c r="G900"/>
    </row>
    <row r="901" spans="7:7">
      <c r="G901"/>
    </row>
    <row r="902" spans="7:7">
      <c r="G902"/>
    </row>
    <row r="903" spans="7:7">
      <c r="G903"/>
    </row>
    <row r="904" spans="7:7">
      <c r="G904"/>
    </row>
    <row r="905" spans="7:7">
      <c r="G905"/>
    </row>
    <row r="906" spans="7:7">
      <c r="G906"/>
    </row>
    <row r="907" spans="7:7">
      <c r="G907"/>
    </row>
    <row r="908" spans="7:7">
      <c r="G908"/>
    </row>
    <row r="909" spans="7:7">
      <c r="G909"/>
    </row>
    <row r="910" spans="7:7">
      <c r="G910"/>
    </row>
    <row r="911" spans="7:7">
      <c r="G911"/>
    </row>
    <row r="912" spans="7:7">
      <c r="G912"/>
    </row>
    <row r="913" spans="7:7">
      <c r="G913"/>
    </row>
    <row r="914" spans="7:7">
      <c r="G914"/>
    </row>
    <row r="915" spans="7:7">
      <c r="G915"/>
    </row>
    <row r="916" spans="7:7">
      <c r="G916"/>
    </row>
    <row r="917" spans="7:7">
      <c r="G917"/>
    </row>
    <row r="918" spans="7:7">
      <c r="G918"/>
    </row>
    <row r="919" spans="7:7">
      <c r="G919"/>
    </row>
    <row r="920" spans="7:7">
      <c r="G920"/>
    </row>
    <row r="921" spans="7:7">
      <c r="G921"/>
    </row>
    <row r="922" spans="7:7">
      <c r="G922"/>
    </row>
    <row r="923" spans="7:7">
      <c r="G923"/>
    </row>
    <row r="924" spans="7:7">
      <c r="G924"/>
    </row>
    <row r="925" spans="7:7">
      <c r="G925"/>
    </row>
    <row r="926" spans="7:7">
      <c r="G926"/>
    </row>
    <row r="927" spans="7:7">
      <c r="G927"/>
    </row>
    <row r="928" spans="7:7">
      <c r="G928"/>
    </row>
    <row r="929" spans="7:7">
      <c r="G929"/>
    </row>
    <row r="930" spans="7:7">
      <c r="G930"/>
    </row>
    <row r="931" spans="7:7">
      <c r="G931"/>
    </row>
    <row r="932" spans="7:7">
      <c r="G932"/>
    </row>
    <row r="933" spans="7:7">
      <c r="G933"/>
    </row>
    <row r="934" spans="7:7">
      <c r="G934"/>
    </row>
    <row r="935" spans="7:7">
      <c r="G935"/>
    </row>
    <row r="936" spans="7:7">
      <c r="G936"/>
    </row>
    <row r="937" spans="7:7">
      <c r="G937"/>
    </row>
    <row r="938" spans="7:7">
      <c r="G938"/>
    </row>
    <row r="939" spans="7:7">
      <c r="G939"/>
    </row>
    <row r="940" spans="7:7">
      <c r="G940"/>
    </row>
    <row r="941" spans="7:7">
      <c r="G941"/>
    </row>
    <row r="942" spans="7:7">
      <c r="G942"/>
    </row>
    <row r="943" spans="7:7">
      <c r="G943"/>
    </row>
    <row r="944" spans="7:7">
      <c r="G944"/>
    </row>
    <row r="945" spans="7:7">
      <c r="G945"/>
    </row>
    <row r="946" spans="7:7">
      <c r="G946"/>
    </row>
    <row r="947" spans="7:7">
      <c r="G947"/>
    </row>
    <row r="948" spans="7:7">
      <c r="G948"/>
    </row>
    <row r="949" spans="7:7">
      <c r="G949"/>
    </row>
    <row r="950" spans="7:7">
      <c r="G950"/>
    </row>
    <row r="951" spans="7:7">
      <c r="G951"/>
    </row>
    <row r="952" spans="7:7">
      <c r="G952"/>
    </row>
    <row r="953" spans="7:7">
      <c r="G953"/>
    </row>
    <row r="954" spans="7:7">
      <c r="G954"/>
    </row>
    <row r="955" spans="7:7">
      <c r="G955"/>
    </row>
    <row r="956" spans="7:7">
      <c r="G956"/>
    </row>
    <row r="957" spans="7:7">
      <c r="G957"/>
    </row>
    <row r="958" spans="7:7">
      <c r="G958"/>
    </row>
    <row r="959" spans="7:7">
      <c r="G959"/>
    </row>
    <row r="960" spans="7:7">
      <c r="G960"/>
    </row>
    <row r="961" spans="7:7">
      <c r="G961"/>
    </row>
    <row r="962" spans="7:7">
      <c r="G962"/>
    </row>
    <row r="963" spans="7:7">
      <c r="G963"/>
    </row>
    <row r="964" spans="7:7">
      <c r="G964"/>
    </row>
    <row r="965" spans="7:7">
      <c r="G965"/>
    </row>
    <row r="966" spans="7:7">
      <c r="G966"/>
    </row>
    <row r="967" spans="7:7">
      <c r="G967"/>
    </row>
    <row r="968" spans="7:7">
      <c r="G968"/>
    </row>
    <row r="969" spans="7:7">
      <c r="G969"/>
    </row>
    <row r="970" spans="7:7">
      <c r="G970"/>
    </row>
    <row r="971" spans="7:7">
      <c r="G971"/>
    </row>
    <row r="972" spans="7:7">
      <c r="G972"/>
    </row>
    <row r="973" spans="7:7">
      <c r="G973"/>
    </row>
    <row r="974" spans="7:7">
      <c r="G974"/>
    </row>
    <row r="975" spans="7:7">
      <c r="G975"/>
    </row>
    <row r="976" spans="7:7">
      <c r="G976"/>
    </row>
    <row r="977" spans="7:7">
      <c r="G977"/>
    </row>
    <row r="978" spans="7:7">
      <c r="G978"/>
    </row>
    <row r="979" spans="7:7">
      <c r="G979"/>
    </row>
    <row r="980" spans="7:7">
      <c r="G980"/>
    </row>
    <row r="981" spans="7:7">
      <c r="G981"/>
    </row>
    <row r="982" spans="7:7">
      <c r="G982"/>
    </row>
    <row r="983" spans="7:7">
      <c r="G983"/>
    </row>
    <row r="984" spans="7:7">
      <c r="G984"/>
    </row>
    <row r="985" spans="7:7">
      <c r="G985"/>
    </row>
    <row r="986" spans="7:7">
      <c r="G986"/>
    </row>
    <row r="987" spans="7:7">
      <c r="G987"/>
    </row>
    <row r="988" spans="7:7">
      <c r="G988"/>
    </row>
    <row r="989" spans="7:7">
      <c r="G989"/>
    </row>
    <row r="990" spans="7:7">
      <c r="G990"/>
    </row>
    <row r="991" spans="7:7">
      <c r="G991"/>
    </row>
    <row r="992" spans="7:7">
      <c r="G992"/>
    </row>
    <row r="993" spans="7:7">
      <c r="G993"/>
    </row>
    <row r="994" spans="7:7">
      <c r="G994"/>
    </row>
    <row r="995" spans="7:7">
      <c r="G995"/>
    </row>
    <row r="996" spans="7:7">
      <c r="G996"/>
    </row>
    <row r="997" spans="7:7">
      <c r="G997"/>
    </row>
    <row r="998" spans="7:7">
      <c r="G998"/>
    </row>
    <row r="999" spans="7:7">
      <c r="G999"/>
    </row>
    <row r="1000" spans="7:7">
      <c r="G1000"/>
    </row>
    <row r="1001" spans="7:7">
      <c r="G1001"/>
    </row>
    <row r="1002" spans="7:7">
      <c r="G1002"/>
    </row>
    <row r="1003" spans="7:7">
      <c r="G1003"/>
    </row>
    <row r="1004" spans="7:7">
      <c r="G1004"/>
    </row>
    <row r="1005" spans="7:7">
      <c r="G1005"/>
    </row>
    <row r="1006" spans="7:7">
      <c r="G1006"/>
    </row>
    <row r="1007" spans="7:7">
      <c r="G1007"/>
    </row>
    <row r="1008" spans="7:7">
      <c r="G1008"/>
    </row>
    <row r="1009" spans="7:7">
      <c r="G1009"/>
    </row>
    <row r="1010" spans="7:7">
      <c r="G1010"/>
    </row>
    <row r="1011" spans="7:7">
      <c r="G1011"/>
    </row>
    <row r="1012" spans="7:7">
      <c r="G1012"/>
    </row>
    <row r="1013" spans="7:7">
      <c r="G1013"/>
    </row>
    <row r="1014" spans="7:7">
      <c r="G1014"/>
    </row>
    <row r="1015" spans="7:7">
      <c r="G1015"/>
    </row>
    <row r="1016" spans="7:7">
      <c r="G1016"/>
    </row>
    <row r="1017" spans="7:7">
      <c r="G1017"/>
    </row>
    <row r="1018" spans="7:7">
      <c r="G1018"/>
    </row>
    <row r="1019" spans="7:7">
      <c r="G1019"/>
    </row>
    <row r="1020" spans="7:7">
      <c r="G1020"/>
    </row>
    <row r="1021" spans="7:7">
      <c r="G1021"/>
    </row>
    <row r="1022" spans="7:7">
      <c r="G1022"/>
    </row>
    <row r="1023" spans="7:7">
      <c r="G1023"/>
    </row>
    <row r="1024" spans="7:7">
      <c r="G1024"/>
    </row>
    <row r="1025" spans="7:7">
      <c r="G1025"/>
    </row>
    <row r="1026" spans="7:7">
      <c r="G1026"/>
    </row>
    <row r="1027" spans="7:7">
      <c r="G1027"/>
    </row>
    <row r="1028" spans="7:7">
      <c r="G1028"/>
    </row>
    <row r="1029" spans="7:7">
      <c r="G1029"/>
    </row>
    <row r="1030" spans="7:7">
      <c r="G1030"/>
    </row>
    <row r="1031" spans="7:7">
      <c r="G1031"/>
    </row>
    <row r="1032" spans="7:7">
      <c r="G1032"/>
    </row>
    <row r="1033" spans="7:7">
      <c r="G1033"/>
    </row>
    <row r="1034" spans="7:7">
      <c r="G1034"/>
    </row>
    <row r="1035" spans="7:7">
      <c r="G1035"/>
    </row>
    <row r="1036" spans="7:7">
      <c r="G1036"/>
    </row>
    <row r="1037" spans="7:7">
      <c r="G1037"/>
    </row>
    <row r="1038" spans="7:7">
      <c r="G1038"/>
    </row>
    <row r="1039" spans="7:7">
      <c r="G1039"/>
    </row>
    <row r="1040" spans="7:7">
      <c r="G1040"/>
    </row>
    <row r="1041" spans="7:7">
      <c r="G1041"/>
    </row>
    <row r="1042" spans="7:7">
      <c r="G1042"/>
    </row>
    <row r="1043" spans="7:7">
      <c r="G1043"/>
    </row>
    <row r="1044" spans="7:7">
      <c r="G1044"/>
    </row>
    <row r="1045" spans="7:7">
      <c r="G1045"/>
    </row>
    <row r="1046" spans="7:7">
      <c r="G1046"/>
    </row>
    <row r="1047" spans="7:7">
      <c r="G1047"/>
    </row>
    <row r="1048" spans="7:7">
      <c r="G1048"/>
    </row>
    <row r="1049" spans="7:7">
      <c r="G1049"/>
    </row>
    <row r="1050" spans="7:7">
      <c r="G1050"/>
    </row>
    <row r="1051" spans="7:7">
      <c r="G1051"/>
    </row>
    <row r="1052" spans="7:7">
      <c r="G1052"/>
    </row>
    <row r="1053" spans="7:7">
      <c r="G1053"/>
    </row>
    <row r="1054" spans="7:7">
      <c r="G1054"/>
    </row>
    <row r="1055" spans="7:7">
      <c r="G1055"/>
    </row>
    <row r="1056" spans="7:7">
      <c r="G1056"/>
    </row>
    <row r="1057" spans="7:7">
      <c r="G1057"/>
    </row>
    <row r="1058" spans="7:7">
      <c r="G1058"/>
    </row>
    <row r="1059" spans="7:7">
      <c r="G1059"/>
    </row>
    <row r="1060" spans="7:7">
      <c r="G1060"/>
    </row>
    <row r="1061" spans="7:7">
      <c r="G1061"/>
    </row>
    <row r="1062" spans="7:7">
      <c r="G1062"/>
    </row>
    <row r="1063" spans="7:7">
      <c r="G1063"/>
    </row>
    <row r="1064" spans="7:7">
      <c r="G1064"/>
    </row>
    <row r="1065" spans="7:7">
      <c r="G1065"/>
    </row>
    <row r="1066" spans="7:7">
      <c r="G1066"/>
    </row>
    <row r="1067" spans="7:7">
      <c r="G1067"/>
    </row>
    <row r="1068" spans="7:7">
      <c r="G1068"/>
    </row>
    <row r="1069" spans="7:7">
      <c r="G1069"/>
    </row>
    <row r="1070" spans="7:7">
      <c r="G1070"/>
    </row>
    <row r="1071" spans="7:7">
      <c r="G1071"/>
    </row>
    <row r="1072" spans="7:7">
      <c r="G1072"/>
    </row>
    <row r="1073" spans="7:7">
      <c r="G1073"/>
    </row>
    <row r="1074" spans="7:7">
      <c r="G1074"/>
    </row>
    <row r="1075" spans="7:7">
      <c r="G1075"/>
    </row>
    <row r="1076" spans="7:7">
      <c r="G1076"/>
    </row>
    <row r="1077" spans="7:7">
      <c r="G1077"/>
    </row>
    <row r="1078" spans="7:7">
      <c r="G1078"/>
    </row>
    <row r="1079" spans="7:7">
      <c r="G1079"/>
    </row>
    <row r="1080" spans="7:7">
      <c r="G1080"/>
    </row>
    <row r="1081" spans="7:7">
      <c r="G1081"/>
    </row>
    <row r="1082" spans="7:7">
      <c r="G1082"/>
    </row>
    <row r="1083" spans="7:7">
      <c r="G1083"/>
    </row>
    <row r="1084" spans="7:7">
      <c r="G1084"/>
    </row>
    <row r="1085" spans="7:7">
      <c r="G1085"/>
    </row>
    <row r="1086" spans="7:7">
      <c r="G1086"/>
    </row>
    <row r="1087" spans="7:7">
      <c r="G1087"/>
    </row>
    <row r="1088" spans="7:7">
      <c r="G1088"/>
    </row>
    <row r="1089" spans="7:7">
      <c r="G1089"/>
    </row>
    <row r="1090" spans="7:7">
      <c r="G1090"/>
    </row>
    <row r="1091" spans="7:7">
      <c r="G1091"/>
    </row>
    <row r="1092" spans="7:7">
      <c r="G1092"/>
    </row>
    <row r="1093" spans="7:7">
      <c r="G1093"/>
    </row>
    <row r="1094" spans="7:7">
      <c r="G1094"/>
    </row>
    <row r="1095" spans="7:7">
      <c r="G1095"/>
    </row>
    <row r="1096" spans="7:7">
      <c r="G1096"/>
    </row>
    <row r="1097" spans="7:7">
      <c r="G1097"/>
    </row>
    <row r="1098" spans="7:7">
      <c r="G1098"/>
    </row>
    <row r="1099" spans="7:7">
      <c r="G1099"/>
    </row>
    <row r="1100" spans="7:7">
      <c r="G1100"/>
    </row>
    <row r="1101" spans="7:7">
      <c r="G1101"/>
    </row>
    <row r="1102" spans="7:7">
      <c r="G1102"/>
    </row>
    <row r="1103" spans="7:7">
      <c r="G1103"/>
    </row>
    <row r="1104" spans="7:7">
      <c r="G1104"/>
    </row>
    <row r="1105" spans="7:7">
      <c r="G1105"/>
    </row>
    <row r="1106" spans="7:7">
      <c r="G1106"/>
    </row>
    <row r="1107" spans="7:7">
      <c r="G1107"/>
    </row>
    <row r="1108" spans="7:7">
      <c r="G1108"/>
    </row>
    <row r="1109" spans="7:7">
      <c r="G1109"/>
    </row>
    <row r="1110" spans="7:7">
      <c r="G1110"/>
    </row>
    <row r="1111" spans="7:7">
      <c r="G1111"/>
    </row>
    <row r="1112" spans="7:7">
      <c r="G1112"/>
    </row>
    <row r="1113" spans="7:7">
      <c r="G1113"/>
    </row>
    <row r="1114" spans="7:7">
      <c r="G1114"/>
    </row>
    <row r="1115" spans="7:7">
      <c r="G1115"/>
    </row>
    <row r="1116" spans="7:7">
      <c r="G1116"/>
    </row>
    <row r="1117" spans="7:7">
      <c r="G1117"/>
    </row>
    <row r="1118" spans="7:7">
      <c r="G1118"/>
    </row>
    <row r="1119" spans="7:7">
      <c r="G1119"/>
    </row>
    <row r="1120" spans="7:7">
      <c r="G1120"/>
    </row>
    <row r="1121" spans="7:7">
      <c r="G1121"/>
    </row>
    <row r="1122" spans="7:7">
      <c r="G1122"/>
    </row>
    <row r="1123" spans="7:7">
      <c r="G1123"/>
    </row>
    <row r="1124" spans="7:7">
      <c r="G1124"/>
    </row>
    <row r="1125" spans="7:7">
      <c r="G1125"/>
    </row>
    <row r="1126" spans="7:7">
      <c r="G1126"/>
    </row>
    <row r="1127" spans="7:7">
      <c r="G1127"/>
    </row>
    <row r="1128" spans="7:7">
      <c r="G1128"/>
    </row>
    <row r="1129" spans="7:7">
      <c r="G1129"/>
    </row>
    <row r="1130" spans="7:7">
      <c r="G1130"/>
    </row>
    <row r="1131" spans="7:7">
      <c r="G1131"/>
    </row>
    <row r="1132" spans="7:7">
      <c r="G1132"/>
    </row>
    <row r="1133" spans="7:7">
      <c r="G1133"/>
    </row>
    <row r="1134" spans="7:7">
      <c r="G1134"/>
    </row>
    <row r="1135" spans="7:7">
      <c r="G1135"/>
    </row>
    <row r="1136" spans="7:7">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row r="1282" spans="7:7">
      <c r="G1282"/>
    </row>
    <row r="1283" spans="7:7">
      <c r="G1283"/>
    </row>
    <row r="1284" spans="7:7">
      <c r="G1284"/>
    </row>
    <row r="1285" spans="7:7">
      <c r="G1285"/>
    </row>
    <row r="1286" spans="7:7">
      <c r="G1286"/>
    </row>
    <row r="1287" spans="7:7">
      <c r="G1287"/>
    </row>
    <row r="1288" spans="7:7">
      <c r="G1288"/>
    </row>
    <row r="1289" spans="7:7">
      <c r="G1289"/>
    </row>
    <row r="1290" spans="7:7">
      <c r="G1290"/>
    </row>
    <row r="1291" spans="7:7">
      <c r="G1291"/>
    </row>
    <row r="1292" spans="7:7">
      <c r="G1292"/>
    </row>
    <row r="1293" spans="7:7">
      <c r="G1293"/>
    </row>
    <row r="1294" spans="7:7">
      <c r="G1294"/>
    </row>
    <row r="1295" spans="7:7">
      <c r="G1295"/>
    </row>
    <row r="1296" spans="7:7">
      <c r="G1296"/>
    </row>
    <row r="1297" spans="7:7">
      <c r="G1297"/>
    </row>
    <row r="1298" spans="7:7">
      <c r="G1298"/>
    </row>
    <row r="1299" spans="7:7">
      <c r="G1299"/>
    </row>
    <row r="1300" spans="7:7">
      <c r="G1300"/>
    </row>
    <row r="1301" spans="7:7">
      <c r="G1301"/>
    </row>
    <row r="1302" spans="7:7">
      <c r="G1302"/>
    </row>
    <row r="1303" spans="7:7">
      <c r="G1303"/>
    </row>
    <row r="1304" spans="7:7">
      <c r="G1304"/>
    </row>
    <row r="1305" spans="7:7">
      <c r="G1305"/>
    </row>
    <row r="1306" spans="7:7">
      <c r="G1306"/>
    </row>
    <row r="1307" spans="7:7">
      <c r="G1307"/>
    </row>
    <row r="1308" spans="7:7">
      <c r="G1308"/>
    </row>
    <row r="1309" spans="7:7">
      <c r="G1309"/>
    </row>
    <row r="1310" spans="7:7">
      <c r="G1310"/>
    </row>
    <row r="1311" spans="7:7">
      <c r="G1311"/>
    </row>
    <row r="1312" spans="7:7">
      <c r="G1312"/>
    </row>
    <row r="1313" spans="7:7">
      <c r="G1313"/>
    </row>
    <row r="1314" spans="7:7">
      <c r="G1314"/>
    </row>
    <row r="1315" spans="7:7">
      <c r="G1315"/>
    </row>
    <row r="1316" spans="7:7">
      <c r="G1316"/>
    </row>
    <row r="1317" spans="7:7">
      <c r="G1317"/>
    </row>
    <row r="1318" spans="7:7">
      <c r="G1318"/>
    </row>
    <row r="1319" spans="7:7">
      <c r="G1319"/>
    </row>
    <row r="1320" spans="7:7">
      <c r="G1320"/>
    </row>
    <row r="1321" spans="7:7">
      <c r="G1321"/>
    </row>
    <row r="1322" spans="7:7">
      <c r="G1322"/>
    </row>
    <row r="1323" spans="7:7">
      <c r="G1323"/>
    </row>
    <row r="1324" spans="7:7">
      <c r="G1324"/>
    </row>
    <row r="1325" spans="7:7">
      <c r="G1325"/>
    </row>
    <row r="1326" spans="7:7">
      <c r="G1326"/>
    </row>
    <row r="1327" spans="7:7">
      <c r="G1327"/>
    </row>
    <row r="1328" spans="7:7">
      <c r="G1328"/>
    </row>
    <row r="1329" spans="7:7">
      <c r="G1329"/>
    </row>
    <row r="1330" spans="7:7">
      <c r="G1330"/>
    </row>
    <row r="1331" spans="7:7">
      <c r="G1331"/>
    </row>
    <row r="1332" spans="7:7">
      <c r="G1332"/>
    </row>
    <row r="1333" spans="7:7">
      <c r="G1333"/>
    </row>
    <row r="1334" spans="7:7">
      <c r="G1334"/>
    </row>
    <row r="1335" spans="7:7">
      <c r="G1335"/>
    </row>
    <row r="1336" spans="7:7">
      <c r="G1336"/>
    </row>
    <row r="1337" spans="7:7">
      <c r="G1337"/>
    </row>
    <row r="1338" spans="7:7">
      <c r="G1338"/>
    </row>
    <row r="1339" spans="7:7">
      <c r="G1339"/>
    </row>
    <row r="1340" spans="7:7">
      <c r="G1340"/>
    </row>
    <row r="1341" spans="7:7">
      <c r="G1341"/>
    </row>
    <row r="1342" spans="7:7">
      <c r="G1342"/>
    </row>
    <row r="1343" spans="7:7">
      <c r="G1343"/>
    </row>
    <row r="1344" spans="7:7">
      <c r="G1344"/>
    </row>
    <row r="1345" spans="7:7">
      <c r="G1345"/>
    </row>
    <row r="1346" spans="7:7">
      <c r="G1346"/>
    </row>
    <row r="1347" spans="7:7">
      <c r="G1347"/>
    </row>
    <row r="1348" spans="7:7">
      <c r="G1348"/>
    </row>
    <row r="1349" spans="7:7">
      <c r="G1349"/>
    </row>
    <row r="1350" spans="7:7">
      <c r="G1350"/>
    </row>
    <row r="1351" spans="7:7">
      <c r="G1351"/>
    </row>
    <row r="1352" spans="7:7">
      <c r="G1352"/>
    </row>
    <row r="1353" spans="7:7">
      <c r="G1353"/>
    </row>
    <row r="1354" spans="7:7">
      <c r="G1354"/>
    </row>
    <row r="1355" spans="7:7">
      <c r="G1355"/>
    </row>
    <row r="1356" spans="7:7">
      <c r="G1356"/>
    </row>
    <row r="1357" spans="7:7">
      <c r="G1357"/>
    </row>
    <row r="1358" spans="7:7">
      <c r="G1358"/>
    </row>
    <row r="1359" spans="7:7">
      <c r="G1359"/>
    </row>
    <row r="1360" spans="7:7">
      <c r="G1360"/>
    </row>
    <row r="1361" spans="7:7">
      <c r="G1361"/>
    </row>
    <row r="1362" spans="7:7">
      <c r="G1362"/>
    </row>
    <row r="1363" spans="7:7">
      <c r="G1363"/>
    </row>
    <row r="1364" spans="7:7">
      <c r="G1364"/>
    </row>
    <row r="1365" spans="7:7">
      <c r="G1365"/>
    </row>
    <row r="1366" spans="7:7">
      <c r="G1366"/>
    </row>
    <row r="1367" spans="7:7">
      <c r="G1367"/>
    </row>
    <row r="1368" spans="7:7">
      <c r="G1368"/>
    </row>
    <row r="1369" spans="7:7">
      <c r="G1369"/>
    </row>
    <row r="1370" spans="7:7">
      <c r="G1370"/>
    </row>
    <row r="1371" spans="7:7">
      <c r="G1371"/>
    </row>
    <row r="1372" spans="7:7">
      <c r="G1372"/>
    </row>
    <row r="1373" spans="7:7">
      <c r="G1373"/>
    </row>
    <row r="1374" spans="7:7">
      <c r="G1374"/>
    </row>
    <row r="1375" spans="7:7">
      <c r="G1375"/>
    </row>
    <row r="1376" spans="7:7">
      <c r="G1376"/>
    </row>
    <row r="1377" spans="7:7">
      <c r="G1377"/>
    </row>
    <row r="1378" spans="7:7">
      <c r="G1378"/>
    </row>
    <row r="1379" spans="7:7">
      <c r="G1379"/>
    </row>
    <row r="1380" spans="7:7">
      <c r="G1380"/>
    </row>
    <row r="1381" spans="7:7">
      <c r="G1381"/>
    </row>
    <row r="1382" spans="7:7">
      <c r="G1382"/>
    </row>
    <row r="1383" spans="7:7">
      <c r="G1383"/>
    </row>
    <row r="1384" spans="7:7">
      <c r="G1384"/>
    </row>
    <row r="1385" spans="7:7">
      <c r="G1385"/>
    </row>
    <row r="1386" spans="7:7">
      <c r="G1386"/>
    </row>
    <row r="1387" spans="7:7">
      <c r="G1387"/>
    </row>
    <row r="1388" spans="7:7">
      <c r="G1388"/>
    </row>
    <row r="1389" spans="7:7">
      <c r="G1389"/>
    </row>
    <row r="1390" spans="7:7">
      <c r="G1390"/>
    </row>
    <row r="1391" spans="7:7">
      <c r="G1391"/>
    </row>
    <row r="1392" spans="7:7">
      <c r="G1392"/>
    </row>
    <row r="1393" spans="7:7">
      <c r="G1393"/>
    </row>
    <row r="1394" spans="7:7">
      <c r="G1394"/>
    </row>
    <row r="1395" spans="7:7">
      <c r="G1395"/>
    </row>
    <row r="1396" spans="7:7">
      <c r="G1396"/>
    </row>
    <row r="1397" spans="7:7">
      <c r="G1397"/>
    </row>
    <row r="1398" spans="7:7">
      <c r="G1398"/>
    </row>
    <row r="1399" spans="7:7">
      <c r="G1399"/>
    </row>
    <row r="1400" spans="7:7">
      <c r="G1400"/>
    </row>
    <row r="1401" spans="7:7">
      <c r="G1401"/>
    </row>
    <row r="1402" spans="7:7">
      <c r="G1402"/>
    </row>
    <row r="1403" spans="7:7">
      <c r="G1403"/>
    </row>
    <row r="1404" spans="7:7">
      <c r="G1404"/>
    </row>
    <row r="1405" spans="7:7">
      <c r="G1405"/>
    </row>
    <row r="1406" spans="7:7">
      <c r="G1406"/>
    </row>
    <row r="1407" spans="7:7">
      <c r="G1407"/>
    </row>
    <row r="1408" spans="7:7">
      <c r="G1408"/>
    </row>
    <row r="1409" spans="7:7">
      <c r="G1409"/>
    </row>
    <row r="1410" spans="7:7">
      <c r="G1410"/>
    </row>
    <row r="1411" spans="7:7">
      <c r="G1411"/>
    </row>
    <row r="1412" spans="7:7">
      <c r="G1412"/>
    </row>
    <row r="1413" spans="7:7">
      <c r="G1413"/>
    </row>
    <row r="1414" spans="7:7">
      <c r="G1414"/>
    </row>
    <row r="1415" spans="7:7">
      <c r="G1415"/>
    </row>
    <row r="1416" spans="7:7">
      <c r="G1416"/>
    </row>
    <row r="1417" spans="7:7">
      <c r="G1417"/>
    </row>
    <row r="1418" spans="7:7">
      <c r="G1418"/>
    </row>
    <row r="1419" spans="7:7">
      <c r="G1419"/>
    </row>
    <row r="1420" spans="7:7">
      <c r="G1420"/>
    </row>
    <row r="1421" spans="7:7">
      <c r="G1421"/>
    </row>
    <row r="1422" spans="7:7">
      <c r="G1422"/>
    </row>
    <row r="1423" spans="7:7">
      <c r="G1423"/>
    </row>
    <row r="1424" spans="7:7">
      <c r="G1424"/>
    </row>
    <row r="1425" spans="7:7">
      <c r="G1425"/>
    </row>
    <row r="1426" spans="7:7">
      <c r="G1426"/>
    </row>
    <row r="1427" spans="7:7">
      <c r="G1427"/>
    </row>
    <row r="1428" spans="7:7">
      <c r="G1428"/>
    </row>
    <row r="1429" spans="7:7">
      <c r="G1429"/>
    </row>
    <row r="1430" spans="7:7">
      <c r="G1430"/>
    </row>
    <row r="1431" spans="7:7">
      <c r="G1431"/>
    </row>
    <row r="1432" spans="7:7">
      <c r="G1432"/>
    </row>
    <row r="1433" spans="7:7">
      <c r="G1433"/>
    </row>
    <row r="1434" spans="7:7">
      <c r="G1434"/>
    </row>
    <row r="1435" spans="7:7">
      <c r="G1435"/>
    </row>
    <row r="1436" spans="7:7">
      <c r="G1436"/>
    </row>
    <row r="1437" spans="7:7">
      <c r="G1437"/>
    </row>
    <row r="1438" spans="7:7">
      <c r="G1438"/>
    </row>
    <row r="1439" spans="7:7">
      <c r="G1439"/>
    </row>
    <row r="1440" spans="7:7">
      <c r="G1440"/>
    </row>
    <row r="1441" spans="7:7">
      <c r="G1441"/>
    </row>
    <row r="1442" spans="7:7">
      <c r="G1442"/>
    </row>
    <row r="1443" spans="7:7">
      <c r="G1443"/>
    </row>
    <row r="1444" spans="7:7">
      <c r="G1444"/>
    </row>
    <row r="1445" spans="7:7">
      <c r="G1445"/>
    </row>
    <row r="1446" spans="7:7">
      <c r="G1446"/>
    </row>
    <row r="1447" spans="7:7">
      <c r="G1447"/>
    </row>
    <row r="1448" spans="7:7">
      <c r="G1448"/>
    </row>
    <row r="1449" spans="7:7">
      <c r="G1449"/>
    </row>
    <row r="1450" spans="7:7">
      <c r="G1450"/>
    </row>
    <row r="1451" spans="7:7">
      <c r="G1451"/>
    </row>
    <row r="1452" spans="7:7">
      <c r="G1452"/>
    </row>
    <row r="1453" spans="7:7">
      <c r="G1453"/>
    </row>
    <row r="1454" spans="7:7">
      <c r="G1454"/>
    </row>
    <row r="1455" spans="7:7">
      <c r="G1455"/>
    </row>
    <row r="1456" spans="7:7">
      <c r="G1456"/>
    </row>
    <row r="1457" spans="7:7">
      <c r="G1457"/>
    </row>
    <row r="1458" spans="7:7">
      <c r="G1458"/>
    </row>
    <row r="1459" spans="7:7">
      <c r="G1459"/>
    </row>
    <row r="1460" spans="7:7">
      <c r="G1460"/>
    </row>
    <row r="1461" spans="7:7">
      <c r="G1461"/>
    </row>
    <row r="1462" spans="7:7">
      <c r="G1462"/>
    </row>
    <row r="1463" spans="7:7">
      <c r="G1463"/>
    </row>
    <row r="1464" spans="7:7">
      <c r="G1464"/>
    </row>
    <row r="1465" spans="7:7">
      <c r="G1465"/>
    </row>
    <row r="1466" spans="7:7">
      <c r="G1466"/>
    </row>
    <row r="1467" spans="7:7">
      <c r="G1467"/>
    </row>
    <row r="1468" spans="7:7">
      <c r="G1468"/>
    </row>
    <row r="1469" spans="7:7">
      <c r="G1469"/>
    </row>
    <row r="1470" spans="7:7">
      <c r="G1470"/>
    </row>
    <row r="1471" spans="7:7">
      <c r="G1471"/>
    </row>
    <row r="1472" spans="7:7">
      <c r="G1472"/>
    </row>
    <row r="1473" spans="7:7">
      <c r="G1473"/>
    </row>
    <row r="1474" spans="7:7">
      <c r="G1474"/>
    </row>
    <row r="1475" spans="7:7">
      <c r="G1475"/>
    </row>
    <row r="1476" spans="7:7">
      <c r="G1476"/>
    </row>
    <row r="1477" spans="7:7">
      <c r="G1477"/>
    </row>
    <row r="1478" spans="7:7">
      <c r="G1478"/>
    </row>
    <row r="1479" spans="7:7">
      <c r="G1479"/>
    </row>
    <row r="1480" spans="7:7">
      <c r="G1480"/>
    </row>
    <row r="1481" spans="7:7">
      <c r="G1481"/>
    </row>
    <row r="1482" spans="7:7">
      <c r="G1482"/>
    </row>
    <row r="1483" spans="7:7">
      <c r="G1483"/>
    </row>
    <row r="1484" spans="7:7">
      <c r="G1484"/>
    </row>
    <row r="1485" spans="7:7">
      <c r="G1485"/>
    </row>
    <row r="1486" spans="7:7">
      <c r="G1486"/>
    </row>
    <row r="1487" spans="7:7">
      <c r="G1487"/>
    </row>
    <row r="1488" spans="7:7">
      <c r="G1488"/>
    </row>
    <row r="1489" spans="7:7">
      <c r="G1489"/>
    </row>
    <row r="1490" spans="7:7">
      <c r="G1490"/>
    </row>
    <row r="1491" spans="7:7">
      <c r="G1491"/>
    </row>
    <row r="1492" spans="7:7">
      <c r="G1492"/>
    </row>
    <row r="1493" spans="7:7">
      <c r="G1493"/>
    </row>
    <row r="1494" spans="7:7">
      <c r="G1494"/>
    </row>
    <row r="1495" spans="7:7">
      <c r="G1495"/>
    </row>
    <row r="1496" spans="7:7">
      <c r="G1496"/>
    </row>
    <row r="1497" spans="7:7">
      <c r="G1497"/>
    </row>
    <row r="1498" spans="7:7">
      <c r="G1498"/>
    </row>
    <row r="1499" spans="7:7">
      <c r="G1499"/>
    </row>
    <row r="1500" spans="7:7">
      <c r="G1500"/>
    </row>
    <row r="1501" spans="7:7">
      <c r="G1501"/>
    </row>
    <row r="1502" spans="7:7">
      <c r="G1502"/>
    </row>
    <row r="1503" spans="7:7">
      <c r="G1503"/>
    </row>
    <row r="1504" spans="7:7">
      <c r="G1504"/>
    </row>
    <row r="1505" spans="7:7">
      <c r="G1505"/>
    </row>
    <row r="1506" spans="7:7">
      <c r="G1506"/>
    </row>
    <row r="1507" spans="7:7">
      <c r="G1507"/>
    </row>
    <row r="1508" spans="7:7">
      <c r="G1508"/>
    </row>
    <row r="1509" spans="7:7">
      <c r="G1509"/>
    </row>
    <row r="1510" spans="7:7">
      <c r="G1510"/>
    </row>
    <row r="1511" spans="7:7">
      <c r="G1511"/>
    </row>
    <row r="1512" spans="7:7">
      <c r="G1512"/>
    </row>
    <row r="1513" spans="7:7">
      <c r="G1513"/>
    </row>
    <row r="1514" spans="7:7">
      <c r="G1514"/>
    </row>
    <row r="1515" spans="7:7">
      <c r="G1515"/>
    </row>
    <row r="1516" spans="7:7">
      <c r="G1516"/>
    </row>
    <row r="1517" spans="7:7">
      <c r="G1517"/>
    </row>
    <row r="1518" spans="7:7">
      <c r="G1518"/>
    </row>
    <row r="1519" spans="7:7">
      <c r="G1519"/>
    </row>
    <row r="1520" spans="7:7">
      <c r="G1520"/>
    </row>
    <row r="1521" spans="7:7">
      <c r="G1521"/>
    </row>
    <row r="1522" spans="7:7">
      <c r="G1522"/>
    </row>
    <row r="1523" spans="7:7">
      <c r="G1523"/>
    </row>
    <row r="1524" spans="7:7">
      <c r="G1524"/>
    </row>
    <row r="1525" spans="7:7">
      <c r="G1525"/>
    </row>
    <row r="1526" spans="7:7">
      <c r="G1526"/>
    </row>
    <row r="1527" spans="7:7">
      <c r="G1527"/>
    </row>
    <row r="1528" spans="7:7">
      <c r="G1528"/>
    </row>
    <row r="1529" spans="7:7">
      <c r="G1529"/>
    </row>
    <row r="1530" spans="7:7">
      <c r="G1530"/>
    </row>
    <row r="1531" spans="7:7">
      <c r="G1531"/>
    </row>
    <row r="1532" spans="7:7">
      <c r="G1532"/>
    </row>
    <row r="1533" spans="7:7">
      <c r="G1533"/>
    </row>
    <row r="1534" spans="7:7">
      <c r="G1534"/>
    </row>
    <row r="1535" spans="7:7">
      <c r="G1535"/>
    </row>
    <row r="1536" spans="7:7">
      <c r="G1536"/>
    </row>
    <row r="1537" spans="7:7">
      <c r="G1537"/>
    </row>
    <row r="1538" spans="7:7">
      <c r="G1538"/>
    </row>
    <row r="1539" spans="7:7">
      <c r="G1539"/>
    </row>
    <row r="1540" spans="7:7">
      <c r="G1540"/>
    </row>
    <row r="1541" spans="7:7">
      <c r="G1541"/>
    </row>
    <row r="1542" spans="7:7">
      <c r="G1542"/>
    </row>
    <row r="1543" spans="7:7">
      <c r="G1543"/>
    </row>
    <row r="1544" spans="7:7">
      <c r="G1544"/>
    </row>
    <row r="1545" spans="7:7">
      <c r="G1545"/>
    </row>
    <row r="1546" spans="7:7">
      <c r="G1546"/>
    </row>
    <row r="1547" spans="7:7">
      <c r="G1547"/>
    </row>
    <row r="1548" spans="7:7">
      <c r="G1548"/>
    </row>
    <row r="1549" spans="7:7">
      <c r="G1549"/>
    </row>
    <row r="1550" spans="7:7">
      <c r="G1550"/>
    </row>
    <row r="1551" spans="7:7">
      <c r="G1551"/>
    </row>
    <row r="1552" spans="7:7">
      <c r="G1552"/>
    </row>
    <row r="1553" spans="7:7">
      <c r="G1553"/>
    </row>
    <row r="1554" spans="7:7">
      <c r="G1554"/>
    </row>
    <row r="1555" spans="7:7">
      <c r="G1555"/>
    </row>
    <row r="1556" spans="7:7">
      <c r="G1556"/>
    </row>
    <row r="1557" spans="7:7">
      <c r="G1557"/>
    </row>
    <row r="1558" spans="7:7">
      <c r="G1558"/>
    </row>
    <row r="1559" spans="7:7">
      <c r="G1559"/>
    </row>
    <row r="1560" spans="7:7">
      <c r="G1560"/>
    </row>
    <row r="1561" spans="7:7">
      <c r="G1561"/>
    </row>
    <row r="1562" spans="7:7">
      <c r="G1562"/>
    </row>
    <row r="1563" spans="7:7">
      <c r="G1563"/>
    </row>
    <row r="1564" spans="7:7">
      <c r="G1564"/>
    </row>
    <row r="1565" spans="7:7">
      <c r="G1565"/>
    </row>
    <row r="1566" spans="7:7">
      <c r="G1566"/>
    </row>
    <row r="1567" spans="7:7">
      <c r="G1567"/>
    </row>
    <row r="1568" spans="7:7">
      <c r="G1568"/>
    </row>
    <row r="1569" spans="7:7">
      <c r="G1569"/>
    </row>
    <row r="1570" spans="7:7">
      <c r="G1570"/>
    </row>
    <row r="1571" spans="7:7">
      <c r="G1571"/>
    </row>
    <row r="1572" spans="7:7">
      <c r="G1572"/>
    </row>
    <row r="1573" spans="7:7">
      <c r="G1573"/>
    </row>
    <row r="1574" spans="7:7">
      <c r="G1574"/>
    </row>
    <row r="1575" spans="7:7">
      <c r="G1575"/>
    </row>
    <row r="1576" spans="7:7">
      <c r="G1576"/>
    </row>
    <row r="1577" spans="7:7">
      <c r="G1577"/>
    </row>
    <row r="1578" spans="7:7">
      <c r="G1578"/>
    </row>
    <row r="1579" spans="7:7">
      <c r="G1579"/>
    </row>
    <row r="1580" spans="7:7">
      <c r="G1580"/>
    </row>
    <row r="1581" spans="7:7">
      <c r="G1581"/>
    </row>
    <row r="1582" spans="7:7">
      <c r="G1582"/>
    </row>
    <row r="1583" spans="7:7">
      <c r="G1583"/>
    </row>
    <row r="1584" spans="7:7">
      <c r="G1584"/>
    </row>
    <row r="1585" spans="7:7">
      <c r="G1585"/>
    </row>
    <row r="1586" spans="7:7">
      <c r="G1586"/>
    </row>
    <row r="1587" spans="7:7">
      <c r="G1587"/>
    </row>
    <row r="1588" spans="7:7">
      <c r="G1588"/>
    </row>
    <row r="1589" spans="7:7">
      <c r="G1589"/>
    </row>
    <row r="1590" spans="7:7">
      <c r="G1590"/>
    </row>
    <row r="1591" spans="7:7">
      <c r="G1591"/>
    </row>
    <row r="1592" spans="7:7">
      <c r="G1592"/>
    </row>
    <row r="1593" spans="7:7">
      <c r="G1593"/>
    </row>
    <row r="1594" spans="7:7">
      <c r="G1594"/>
    </row>
    <row r="1595" spans="7:7">
      <c r="G1595"/>
    </row>
    <row r="1596" spans="7:7">
      <c r="G1596"/>
    </row>
    <row r="1597" spans="7:7">
      <c r="G1597"/>
    </row>
    <row r="1598" spans="7:7">
      <c r="G1598"/>
    </row>
    <row r="1599" spans="7:7">
      <c r="G1599"/>
    </row>
    <row r="1600" spans="7:7">
      <c r="G1600"/>
    </row>
    <row r="1601" spans="7:7">
      <c r="G1601"/>
    </row>
    <row r="1602" spans="7:7">
      <c r="G1602"/>
    </row>
    <row r="1603" spans="7:7">
      <c r="G1603"/>
    </row>
    <row r="1604" spans="7:7">
      <c r="G1604"/>
    </row>
    <row r="1605" spans="7:7">
      <c r="G1605"/>
    </row>
    <row r="1606" spans="7:7">
      <c r="G1606"/>
    </row>
    <row r="1607" spans="7:7">
      <c r="G1607"/>
    </row>
    <row r="1608" spans="7:7">
      <c r="G1608"/>
    </row>
    <row r="1609" spans="7:7">
      <c r="G1609"/>
    </row>
    <row r="1610" spans="7:7">
      <c r="G1610"/>
    </row>
    <row r="1611" spans="7:7">
      <c r="G1611"/>
    </row>
    <row r="1612" spans="7:7">
      <c r="G1612"/>
    </row>
    <row r="1613" spans="7:7">
      <c r="G1613"/>
    </row>
    <row r="1614" spans="7:7">
      <c r="G1614"/>
    </row>
    <row r="1615" spans="7:7">
      <c r="G1615"/>
    </row>
    <row r="1616" spans="7:7">
      <c r="G1616"/>
    </row>
    <row r="1617" spans="7:7">
      <c r="G1617"/>
    </row>
    <row r="1618" spans="7:7">
      <c r="G1618"/>
    </row>
    <row r="1619" spans="7:7">
      <c r="G1619"/>
    </row>
    <row r="1620" spans="7:7">
      <c r="G1620"/>
    </row>
    <row r="1621" spans="7:7">
      <c r="G1621"/>
    </row>
    <row r="1622" spans="7:7">
      <c r="G1622"/>
    </row>
    <row r="1623" spans="7:7">
      <c r="G1623"/>
    </row>
    <row r="1624" spans="7:7">
      <c r="G1624"/>
    </row>
    <row r="1625" spans="7:7">
      <c r="G1625"/>
    </row>
    <row r="1626" spans="7:7">
      <c r="G1626"/>
    </row>
    <row r="1627" spans="7:7">
      <c r="G1627"/>
    </row>
    <row r="1628" spans="7:7">
      <c r="G1628"/>
    </row>
    <row r="1629" spans="7:7">
      <c r="G1629"/>
    </row>
    <row r="1630" spans="7:7">
      <c r="G1630"/>
    </row>
    <row r="1631" spans="7:7">
      <c r="G1631"/>
    </row>
    <row r="1632" spans="7:7">
      <c r="G1632"/>
    </row>
    <row r="1633" spans="7:7">
      <c r="G1633"/>
    </row>
    <row r="1634" spans="7:7">
      <c r="G1634"/>
    </row>
    <row r="1635" spans="7:7">
      <c r="G1635"/>
    </row>
    <row r="1636" spans="7:7">
      <c r="G1636"/>
    </row>
    <row r="1637" spans="7:7">
      <c r="G1637"/>
    </row>
    <row r="1638" spans="7:7">
      <c r="G1638"/>
    </row>
    <row r="1639" spans="7:7">
      <c r="G1639"/>
    </row>
    <row r="1640" spans="7:7">
      <c r="G1640"/>
    </row>
    <row r="1641" spans="7:7">
      <c r="G1641"/>
    </row>
    <row r="1642" spans="7:7">
      <c r="G1642"/>
    </row>
    <row r="1643" spans="7:7">
      <c r="G1643"/>
    </row>
    <row r="1644" spans="7:7">
      <c r="G1644"/>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O725"/>
  <sheetViews>
    <sheetView tabSelected="1" zoomScale="80" zoomScaleNormal="80" workbookViewId="0">
      <pane ySplit="2" topLeftCell="A3" activePane="bottomLeft" state="frozen"/>
      <selection/>
      <selection pane="bottomLeft" activeCell="B20" sqref="B20"/>
    </sheetView>
  </sheetViews>
  <sheetFormatPr defaultColWidth="11.4454545454545" defaultRowHeight="12.5"/>
  <cols>
    <col min="1" max="1" width="16.8909090909091" style="211" customWidth="1"/>
    <col min="2" max="2" width="11.7818181818182" style="212" customWidth="1"/>
    <col min="3" max="3" width="39.8909090909091" style="212" customWidth="1"/>
    <col min="4" max="4" width="15.3363636363636" style="212" customWidth="1"/>
    <col min="5" max="5" width="17.1090909090909" style="211" customWidth="1"/>
    <col min="6" max="6" width="12.5545454545455" style="213" customWidth="1"/>
    <col min="7" max="7" width="19.7818181818182" style="211" customWidth="1"/>
    <col min="8" max="8" width="13.4454545454545" style="211" customWidth="1"/>
    <col min="9" max="11" width="11.8909090909091" style="211" customWidth="1"/>
    <col min="12" max="13" width="14" style="211" customWidth="1"/>
    <col min="14" max="14" width="12.3363636363636" style="211" customWidth="1"/>
  </cols>
  <sheetData>
    <row r="1" ht="54" customHeight="1" spans="1:15">
      <c r="E1" s="199" t="s">
        <v>99</v>
      </c>
      <c r="F1" s="199"/>
      <c r="G1" s="199"/>
      <c r="H1" s="199"/>
      <c r="I1" s="199"/>
      <c r="J1" s="199"/>
      <c r="K1" s="199"/>
      <c r="L1" s="199"/>
      <c r="M1" s="199"/>
      <c r="N1" s="199"/>
      <c r="O1" s="199"/>
    </row>
    <row r="2" s="195" customFormat="1" ht="34.5" customHeight="1" spans="1:15">
      <c r="A2" s="200" t="s">
        <v>100</v>
      </c>
      <c r="B2" s="200" t="s">
        <v>101</v>
      </c>
      <c r="C2" s="200" t="s">
        <v>102</v>
      </c>
      <c r="D2" s="200" t="s">
        <v>103</v>
      </c>
      <c r="E2" s="203" t="s">
        <v>104</v>
      </c>
      <c r="F2" s="203" t="s">
        <v>105</v>
      </c>
      <c r="G2" s="203" t="s">
        <v>106</v>
      </c>
      <c r="H2" s="203" t="s">
        <v>107</v>
      </c>
      <c r="I2" s="203" t="s">
        <v>108</v>
      </c>
      <c r="J2" s="203" t="s">
        <v>109</v>
      </c>
      <c r="K2" s="203" t="s">
        <v>110</v>
      </c>
      <c r="L2" s="203" t="s">
        <v>111</v>
      </c>
      <c r="M2" s="203" t="s">
        <v>112</v>
      </c>
      <c r="N2" s="204" t="s">
        <v>113</v>
      </c>
      <c r="O2" s="204" t="s">
        <v>114</v>
      </c>
    </row>
    <row r="3" ht="13" spans="1:15">
      <c r="A3" s="205" t="str">
        <f>+_xlfn.XLOOKUP(B3,Tabla22[Lote],Tabla22[País],"",0)</f>
        <v>Perú Tupemesa</v>
      </c>
      <c r="B3" s="191" t="s">
        <v>79</v>
      </c>
      <c r="C3" s="214" t="s">
        <v>115</v>
      </c>
      <c r="D3" s="206">
        <v>519.352549858347</v>
      </c>
      <c r="G3"/>
      <c r="H3"/>
      <c r="I3"/>
      <c r="J3"/>
      <c r="K3"/>
      <c r="L3" s="213"/>
      <c r="M3" s="213"/>
      <c r="N3" s="213"/>
    </row>
    <row r="4" ht="13" spans="1:15">
      <c r="A4" s="205" t="str">
        <f>+_xlfn.XLOOKUP(B4,Tabla22[Lote],Tabla22[País],"",0)</f>
        <v>Perú Tupemesa</v>
      </c>
      <c r="B4" s="191" t="s">
        <v>79</v>
      </c>
      <c r="C4" s="214" t="s">
        <v>116</v>
      </c>
      <c r="D4" s="206">
        <v>148.386442816671</v>
      </c>
      <c r="H4" s="213"/>
      <c r="I4" s="213"/>
      <c r="J4" s="213"/>
      <c r="K4" s="213"/>
      <c r="L4" s="213"/>
      <c r="M4" s="213"/>
      <c r="N4" s="213"/>
    </row>
    <row r="5" ht="13" spans="1:15">
      <c r="A5" s="205" t="str">
        <f>+_xlfn.XLOOKUP(B5,Tabla22[Lote],Tabla22[País],"",0)</f>
        <v>Perú Tupemesa</v>
      </c>
      <c r="B5" s="191" t="s">
        <v>79</v>
      </c>
      <c r="C5" s="214" t="s">
        <v>117</v>
      </c>
      <c r="D5" s="206">
        <v>92.7415267604191</v>
      </c>
      <c r="H5" s="213"/>
      <c r="I5" s="213"/>
      <c r="J5" s="213"/>
      <c r="K5" s="213"/>
      <c r="L5" s="213"/>
      <c r="M5" s="213"/>
      <c r="N5" s="213"/>
    </row>
    <row r="6" ht="13" spans="1:15">
      <c r="A6" s="205" t="str">
        <f>+_xlfn.XLOOKUP(B6,Tabla22[Lote],Tabla22[País],"",0)</f>
        <v>Perú Tupemesa</v>
      </c>
      <c r="B6" s="191" t="s">
        <v>77</v>
      </c>
      <c r="C6" s="214" t="s">
        <v>118</v>
      </c>
      <c r="D6" s="206">
        <v>42.0581661255104</v>
      </c>
      <c r="H6" s="213"/>
      <c r="I6" s="213"/>
      <c r="J6" s="213"/>
      <c r="K6" s="213"/>
      <c r="L6" s="213"/>
      <c r="M6" s="213"/>
      <c r="N6" s="213"/>
    </row>
    <row r="7" ht="13" spans="1:15">
      <c r="A7" s="205" t="str">
        <f>+_xlfn.XLOOKUP(B7,Tabla22[Lote],Tabla22[País],"",0)</f>
        <v>Perú Tupemesa</v>
      </c>
      <c r="B7" s="191" t="s">
        <v>77</v>
      </c>
      <c r="C7" s="214" t="s">
        <v>119</v>
      </c>
      <c r="D7" s="206">
        <v>54.5196429253456</v>
      </c>
      <c r="H7" s="213"/>
      <c r="I7" s="213"/>
      <c r="J7" s="213"/>
      <c r="K7" s="213"/>
      <c r="L7" s="213"/>
      <c r="M7" s="213"/>
      <c r="N7" s="213"/>
    </row>
    <row r="8" ht="13" spans="1:15">
      <c r="A8" s="205" t="str">
        <f>+_xlfn.XLOOKUP(B8,Tabla22[Lote],Tabla22[País],"",0)</f>
        <v>Perú Tupemesa</v>
      </c>
      <c r="B8" s="191" t="s">
        <v>77</v>
      </c>
      <c r="C8" s="214" t="s">
        <v>120</v>
      </c>
      <c r="D8" s="206">
        <v>34.0548638175447</v>
      </c>
      <c r="H8" s="213"/>
      <c r="I8" s="213"/>
      <c r="J8" s="213"/>
      <c r="K8" s="213"/>
      <c r="L8" s="213"/>
      <c r="M8" s="213"/>
      <c r="N8" s="213"/>
    </row>
    <row r="9" ht="13" spans="1:15">
      <c r="A9" s="205" t="str">
        <f>+_xlfn.XLOOKUP(B9,Tabla22[Lote],Tabla22[País],"",0)</f>
        <v>Perú Tupemesa</v>
      </c>
      <c r="B9" s="191" t="s">
        <v>77</v>
      </c>
      <c r="C9" s="214" t="s">
        <v>121</v>
      </c>
      <c r="D9" s="206">
        <v>67.6371212418479</v>
      </c>
      <c r="H9" s="213"/>
      <c r="I9" s="213"/>
      <c r="J9" s="213"/>
      <c r="K9" s="213"/>
      <c r="L9" s="213"/>
      <c r="M9" s="213"/>
      <c r="N9" s="213"/>
    </row>
    <row r="10" ht="13" spans="1:15">
      <c r="A10" s="205" t="str">
        <f>+_xlfn.XLOOKUP(B10,Tabla22[Lote],Tabla22[País],"",0)</f>
        <v>Perú Tupemesa</v>
      </c>
      <c r="B10" s="191" t="s">
        <v>77</v>
      </c>
      <c r="C10" s="214" t="s">
        <v>122</v>
      </c>
      <c r="D10" s="206">
        <v>20.2125613534939</v>
      </c>
      <c r="H10" s="213"/>
      <c r="I10" s="213"/>
      <c r="J10" s="213"/>
      <c r="K10" s="213"/>
      <c r="L10" s="213"/>
      <c r="M10" s="213"/>
      <c r="N10" s="213"/>
    </row>
    <row r="11" ht="13" spans="1:15">
      <c r="A11" s="205" t="str">
        <f>+_xlfn.XLOOKUP(B11,Tabla22[Lote],Tabla22[País],"",0)</f>
        <v>Perú Tupemesa</v>
      </c>
      <c r="B11" s="191" t="s">
        <v>77</v>
      </c>
      <c r="C11" s="214" t="s">
        <v>123</v>
      </c>
      <c r="D11" s="206">
        <v>34.9759110763832</v>
      </c>
      <c r="H11" s="213"/>
      <c r="I11" s="213"/>
      <c r="J11" s="213"/>
      <c r="K11" s="213"/>
      <c r="L11" s="213"/>
      <c r="M11" s="213"/>
      <c r="N11" s="213"/>
    </row>
    <row r="12" ht="13" spans="1:15">
      <c r="A12" s="205" t="str">
        <f>+_xlfn.XLOOKUP(B12,Tabla22[Lote],Tabla22[País],"",0)</f>
        <v>Perú Tupemesa</v>
      </c>
      <c r="B12" s="191" t="s">
        <v>77</v>
      </c>
      <c r="C12" s="214" t="s">
        <v>124</v>
      </c>
      <c r="D12" s="206">
        <v>18.8813174196665</v>
      </c>
      <c r="H12" s="213"/>
      <c r="I12" s="213"/>
      <c r="J12" s="213"/>
      <c r="K12" s="213"/>
      <c r="L12" s="213"/>
      <c r="M12" s="213"/>
      <c r="N12" s="213"/>
    </row>
    <row r="13" ht="13" spans="1:15">
      <c r="A13" s="205" t="str">
        <f>+_xlfn.XLOOKUP(B13,Tabla22[Lote],Tabla22[País],"",0)</f>
        <v>Perú Tupemesa</v>
      </c>
      <c r="B13" s="191" t="s">
        <v>77</v>
      </c>
      <c r="C13" s="214" t="s">
        <v>125</v>
      </c>
      <c r="D13" s="206">
        <v>23.7127759138493</v>
      </c>
      <c r="H13" s="213"/>
      <c r="I13" s="213"/>
      <c r="J13" s="213"/>
      <c r="K13" s="213"/>
      <c r="L13" s="213"/>
      <c r="M13" s="213"/>
      <c r="N13" s="213"/>
    </row>
    <row r="14" ht="13" spans="1:15">
      <c r="A14" s="205" t="str">
        <f>+_xlfn.XLOOKUP(B14,Tabla22[Lote],Tabla22[País],"",0)</f>
        <v>Perú Tupemesa</v>
      </c>
      <c r="B14" s="191" t="s">
        <v>77</v>
      </c>
      <c r="C14" s="214" t="s">
        <v>126</v>
      </c>
      <c r="D14" s="206">
        <v>31.4412411239832</v>
      </c>
      <c r="H14" s="213"/>
      <c r="I14" s="213"/>
      <c r="J14" s="213"/>
      <c r="K14" s="213"/>
      <c r="L14" s="213"/>
      <c r="M14" s="213"/>
      <c r="N14" s="213"/>
    </row>
    <row r="15" ht="13" spans="1:15">
      <c r="A15" s="205" t="str">
        <f>+_xlfn.XLOOKUP(B15,Tabla22[Lote],Tabla22[País],"",0)</f>
        <v>Perú Tupemesa</v>
      </c>
      <c r="B15" s="191" t="s">
        <v>77</v>
      </c>
      <c r="C15" s="214" t="s">
        <v>127</v>
      </c>
      <c r="D15" s="206">
        <v>26.4750983037985</v>
      </c>
      <c r="H15" s="213"/>
      <c r="I15" s="213"/>
      <c r="J15" s="213"/>
      <c r="K15" s="213"/>
      <c r="L15" s="213"/>
      <c r="M15" s="213"/>
      <c r="N15" s="213"/>
    </row>
    <row r="16" ht="13" spans="1:15">
      <c r="A16" s="205" t="str">
        <f>+_xlfn.XLOOKUP(B16,Tabla22[Lote],Tabla22[País],"",0)</f>
        <v>Perú Tupemesa</v>
      </c>
      <c r="B16" s="191" t="s">
        <v>77</v>
      </c>
      <c r="C16" s="214" t="s">
        <v>128</v>
      </c>
      <c r="D16" s="206">
        <v>31.8403444495322</v>
      </c>
      <c r="H16" s="213"/>
      <c r="I16" s="213"/>
      <c r="J16" s="213"/>
      <c r="K16" s="213"/>
      <c r="L16" s="213"/>
      <c r="M16" s="213"/>
      <c r="N16" s="213"/>
    </row>
    <row r="17" ht="13" spans="1:14">
      <c r="A17" s="205" t="str">
        <f>+_xlfn.XLOOKUP(B17,Tabla22[Lote],Tabla22[País],"",0)</f>
        <v>Perú Tupemesa</v>
      </c>
      <c r="B17" s="191" t="s">
        <v>77</v>
      </c>
      <c r="C17" s="214" t="s">
        <v>129</v>
      </c>
      <c r="D17" s="206">
        <v>37.9022860563755</v>
      </c>
      <c r="H17" s="213"/>
      <c r="I17" s="213"/>
      <c r="J17" s="213"/>
      <c r="K17" s="213"/>
      <c r="L17" s="213"/>
      <c r="M17" s="213"/>
      <c r="N17" s="213"/>
    </row>
    <row r="18" ht="13" spans="1:14">
      <c r="A18" s="205" t="str">
        <f>+_xlfn.XLOOKUP(B18,Tabla22[Lote],Tabla22[País],"",0)</f>
        <v>Perú Tupemesa</v>
      </c>
      <c r="B18" s="191" t="s">
        <v>77</v>
      </c>
      <c r="C18" s="214" t="s">
        <v>130</v>
      </c>
      <c r="D18" s="206">
        <v>69.8301720757828</v>
      </c>
      <c r="H18" s="213"/>
      <c r="I18" s="213"/>
      <c r="J18" s="213"/>
      <c r="K18" s="213"/>
      <c r="L18" s="213"/>
      <c r="M18" s="213"/>
      <c r="N18" s="213"/>
    </row>
    <row r="19" ht="13" spans="1:14">
      <c r="A19" s="205" t="str">
        <f>+_xlfn.XLOOKUP(B19,Tabla22[Lote],Tabla22[País],"",0)</f>
        <v>Perú Tupemesa</v>
      </c>
      <c r="B19" s="191" t="s">
        <v>71</v>
      </c>
      <c r="C19" s="214" t="s">
        <v>131</v>
      </c>
      <c r="D19" s="206">
        <v>129.137794008022</v>
      </c>
      <c r="H19" s="213"/>
      <c r="I19" s="213"/>
      <c r="J19" s="213"/>
      <c r="K19" s="213"/>
      <c r="L19" s="213"/>
      <c r="M19" s="213"/>
      <c r="N19" s="213"/>
    </row>
    <row r="20" ht="13" spans="1:14">
      <c r="A20" s="205" t="str">
        <f>+_xlfn.XLOOKUP(B20,Tabla22[Lote],Tabla22[País],"",0)</f>
        <v>Perú Tupemesa</v>
      </c>
      <c r="B20" s="191" t="s">
        <v>71</v>
      </c>
      <c r="C20" s="214" t="s">
        <v>132</v>
      </c>
      <c r="D20" s="206">
        <v>34.0941863787528</v>
      </c>
      <c r="H20" s="213"/>
      <c r="I20" s="213"/>
      <c r="J20" s="213"/>
      <c r="K20" s="213"/>
      <c r="L20" s="213"/>
      <c r="M20" s="213"/>
      <c r="N20" s="213"/>
    </row>
    <row r="21" ht="13" spans="1:14">
      <c r="A21" s="205" t="str">
        <f>+_xlfn.XLOOKUP(B21,Tabla22[Lote],Tabla22[País],"",0)</f>
        <v>Perú Tupemesa</v>
      </c>
      <c r="B21" s="191" t="s">
        <v>71</v>
      </c>
      <c r="C21" s="214" t="s">
        <v>133</v>
      </c>
      <c r="D21" s="206">
        <v>24.5895239783092</v>
      </c>
      <c r="H21" s="213"/>
      <c r="I21" s="213"/>
      <c r="J21" s="213"/>
      <c r="K21" s="213"/>
      <c r="L21" s="213"/>
      <c r="M21" s="213"/>
      <c r="N21" s="213"/>
    </row>
    <row r="22" ht="13" spans="1:14">
      <c r="A22" s="205" t="str">
        <f>+_xlfn.XLOOKUP(B22,Tabla22[Lote],Tabla22[País],"",0)</f>
        <v>Perú Tupemesa</v>
      </c>
      <c r="B22" s="191" t="s">
        <v>71</v>
      </c>
      <c r="C22" s="214" t="s">
        <v>134</v>
      </c>
      <c r="D22" s="206">
        <v>10.2428472222222</v>
      </c>
      <c r="H22" s="213"/>
      <c r="I22" s="213"/>
      <c r="J22" s="213"/>
      <c r="K22" s="213"/>
      <c r="L22" s="213"/>
      <c r="M22" s="213"/>
      <c r="N22" s="213"/>
    </row>
    <row r="23" ht="13" spans="1:14">
      <c r="A23" s="205" t="str">
        <f>+_xlfn.XLOOKUP(B23,Tabla22[Lote],Tabla22[País],"",0)</f>
        <v>Perú Tupemesa</v>
      </c>
      <c r="B23" s="191" t="s">
        <v>71</v>
      </c>
      <c r="C23" s="214" t="s">
        <v>135</v>
      </c>
      <c r="D23" s="206">
        <v>51.2142361111111</v>
      </c>
      <c r="H23" s="213"/>
      <c r="I23" s="213"/>
      <c r="J23" s="213"/>
      <c r="K23" s="213"/>
      <c r="L23" s="213"/>
      <c r="M23" s="213"/>
      <c r="N23" s="213"/>
    </row>
    <row r="24" ht="13" spans="1:14">
      <c r="A24" s="205" t="str">
        <f>+_xlfn.XLOOKUP(B24,Tabla22[Lote],Tabla22[País],"",0)</f>
        <v>Perú Tupemesa</v>
      </c>
      <c r="B24" s="191" t="s">
        <v>71</v>
      </c>
      <c r="C24" s="214" t="s">
        <v>136</v>
      </c>
      <c r="D24" s="206">
        <v>36.1283272819597</v>
      </c>
      <c r="H24" s="213"/>
      <c r="I24" s="213"/>
      <c r="J24" s="213"/>
      <c r="K24" s="213"/>
      <c r="L24" s="213"/>
      <c r="M24" s="213"/>
      <c r="N24" s="213"/>
    </row>
    <row r="25" ht="13" spans="1:14">
      <c r="A25" s="205" t="str">
        <f>+_xlfn.XLOOKUP(B25,Tabla22[Lote],Tabla22[País],"",0)</f>
        <v>Chile</v>
      </c>
      <c r="B25" s="191" t="s">
        <v>86</v>
      </c>
      <c r="C25" s="214" t="s">
        <v>137</v>
      </c>
      <c r="D25" s="206">
        <v>32.7807883764773</v>
      </c>
      <c r="H25" s="213"/>
      <c r="I25" s="213"/>
      <c r="J25" s="213"/>
      <c r="K25" s="213"/>
      <c r="L25" s="213"/>
      <c r="M25" s="213"/>
      <c r="N25" s="213"/>
    </row>
    <row r="26" ht="13" spans="1:14">
      <c r="A26" s="205" t="str">
        <f>+_xlfn.XLOOKUP(B26,Tabla22[Lote],Tabla22[País],"",0)</f>
        <v>Chile</v>
      </c>
      <c r="B26" s="191" t="s">
        <v>86</v>
      </c>
      <c r="C26" s="214" t="s">
        <v>138</v>
      </c>
      <c r="D26" s="206">
        <v>20.1136073409468</v>
      </c>
      <c r="H26" s="213"/>
      <c r="I26" s="213"/>
      <c r="J26" s="213"/>
      <c r="K26" s="213"/>
      <c r="L26" s="213"/>
      <c r="M26" s="213"/>
      <c r="N26" s="213"/>
    </row>
    <row r="27" ht="13" spans="1:14">
      <c r="A27" s="205" t="str">
        <f>+_xlfn.XLOOKUP(B27,Tabla22[Lote],Tabla22[País],"",0)</f>
        <v>Chile</v>
      </c>
      <c r="B27" s="191" t="s">
        <v>86</v>
      </c>
      <c r="C27" s="214" t="s">
        <v>139</v>
      </c>
      <c r="D27" s="206">
        <v>17.2900756614825</v>
      </c>
      <c r="H27" s="213"/>
      <c r="I27" s="213"/>
      <c r="J27" s="213"/>
      <c r="K27" s="213"/>
      <c r="L27" s="213"/>
      <c r="M27" s="213"/>
      <c r="N27" s="213"/>
    </row>
    <row r="28" ht="13" spans="1:14">
      <c r="A28" s="205" t="str">
        <f>+_xlfn.XLOOKUP(B28,Tabla22[Lote],Tabla22[País],"",0)</f>
        <v>Chile</v>
      </c>
      <c r="B28" s="191" t="s">
        <v>86</v>
      </c>
      <c r="C28" s="214" t="s">
        <v>140</v>
      </c>
      <c r="D28" s="206">
        <v>9.05910714547838</v>
      </c>
      <c r="H28" s="213"/>
      <c r="I28" s="213"/>
      <c r="J28" s="213"/>
      <c r="K28" s="213"/>
      <c r="L28" s="213"/>
      <c r="M28" s="213"/>
      <c r="N28" s="213"/>
    </row>
    <row r="29" ht="13" spans="1:14">
      <c r="A29" s="205" t="str">
        <f>+_xlfn.XLOOKUP(B29,Tabla22[Lote],Tabla22[País],"",0)</f>
        <v>Chile</v>
      </c>
      <c r="B29" s="191" t="s">
        <v>86</v>
      </c>
      <c r="C29" s="214" t="s">
        <v>141</v>
      </c>
      <c r="D29" s="206">
        <v>10.6169160249103</v>
      </c>
      <c r="H29" s="213"/>
      <c r="I29" s="213"/>
      <c r="J29" s="213"/>
      <c r="K29" s="213"/>
      <c r="L29" s="213"/>
      <c r="M29" s="213"/>
      <c r="N29" s="213"/>
    </row>
    <row r="30" ht="13" spans="1:14">
      <c r="A30" s="205"/>
      <c r="B30" s="191"/>
      <c r="C30" s="214"/>
      <c r="D30" s="206">
        <f>+SUM(D3:D29)</f>
        <v>1629.28943084822</v>
      </c>
      <c r="H30" s="213"/>
      <c r="I30" s="213"/>
      <c r="J30" s="213"/>
      <c r="K30" s="213"/>
      <c r="L30" s="213"/>
      <c r="M30" s="213"/>
      <c r="N30" s="213"/>
    </row>
    <row r="31" ht="13" spans="1:14">
      <c r="A31" s="205"/>
      <c r="B31" s="191"/>
      <c r="C31" s="214"/>
      <c r="D31" s="206"/>
      <c r="H31" s="213"/>
      <c r="I31" s="213"/>
      <c r="J31" s="213"/>
      <c r="K31" s="213"/>
      <c r="L31" s="213"/>
      <c r="M31" s="213"/>
      <c r="N31" s="213"/>
    </row>
    <row r="32" ht="13" spans="1:14">
      <c r="A32" s="205"/>
      <c r="B32" s="191"/>
      <c r="C32" s="214"/>
      <c r="D32" s="206"/>
      <c r="H32" s="213"/>
      <c r="I32" s="213"/>
      <c r="J32" s="213"/>
      <c r="K32" s="213"/>
      <c r="L32" s="213"/>
      <c r="M32" s="213"/>
      <c r="N32" s="213"/>
    </row>
    <row r="33" ht="13" spans="4:14">
      <c r="D33" s="215"/>
      <c r="H33" s="213"/>
      <c r="I33" s="213"/>
      <c r="J33" s="213"/>
      <c r="K33" s="213"/>
      <c r="L33" s="213"/>
      <c r="M33" s="213"/>
      <c r="N33" s="213"/>
    </row>
    <row r="34" spans="4:14">
      <c r="H34" s="213"/>
      <c r="I34" s="213"/>
      <c r="J34" s="213"/>
      <c r="K34" s="213"/>
      <c r="L34" s="213"/>
      <c r="M34" s="213"/>
      <c r="N34" s="213"/>
    </row>
    <row r="35" spans="4:14">
      <c r="H35" s="213"/>
      <c r="I35" s="213"/>
      <c r="J35" s="213"/>
      <c r="K35" s="213"/>
      <c r="L35" s="213"/>
      <c r="M35" s="213"/>
      <c r="N35" s="213"/>
    </row>
    <row r="36" spans="4:14">
      <c r="H36" s="213"/>
      <c r="I36" s="213"/>
      <c r="J36" s="213"/>
      <c r="K36" s="213"/>
      <c r="L36" s="213"/>
      <c r="M36" s="213"/>
      <c r="N36" s="213"/>
    </row>
    <row r="37" spans="4:14">
      <c r="H37" s="213"/>
      <c r="I37" s="213"/>
      <c r="J37" s="213"/>
      <c r="K37" s="213"/>
      <c r="L37" s="213"/>
      <c r="M37" s="213"/>
      <c r="N37" s="213"/>
    </row>
    <row r="38" spans="4:14">
      <c r="H38" s="213"/>
      <c r="I38" s="213"/>
      <c r="J38" s="213"/>
      <c r="K38" s="213"/>
      <c r="L38" s="213"/>
      <c r="M38" s="213"/>
      <c r="N38" s="213"/>
    </row>
    <row r="39" spans="4:14">
      <c r="H39" s="213"/>
      <c r="I39" s="213"/>
      <c r="J39" s="213"/>
      <c r="K39" s="213"/>
      <c r="L39" s="213"/>
      <c r="M39" s="213"/>
      <c r="N39" s="213"/>
    </row>
    <row r="40" spans="4:14">
      <c r="H40" s="213"/>
      <c r="I40" s="213"/>
      <c r="J40" s="213"/>
      <c r="K40" s="213"/>
      <c r="L40" s="213"/>
      <c r="M40" s="213"/>
      <c r="N40" s="213"/>
    </row>
    <row r="41" spans="4:14">
      <c r="H41" s="213"/>
      <c r="I41" s="213"/>
      <c r="J41" s="213"/>
      <c r="K41" s="213"/>
      <c r="L41" s="213"/>
      <c r="M41" s="213"/>
      <c r="N41" s="213"/>
    </row>
    <row r="42" spans="4:14">
      <c r="H42" s="213"/>
      <c r="I42" s="213"/>
      <c r="J42" s="213"/>
      <c r="K42" s="213"/>
      <c r="L42" s="213"/>
      <c r="M42" s="213"/>
      <c r="N42" s="213"/>
    </row>
    <row r="43" spans="4:14">
      <c r="H43" s="213"/>
      <c r="I43" s="213"/>
      <c r="J43" s="213"/>
      <c r="K43" s="213"/>
      <c r="L43" s="213"/>
      <c r="M43" s="213"/>
      <c r="N43" s="213"/>
    </row>
    <row r="44" spans="4:14">
      <c r="H44" s="213"/>
      <c r="I44" s="213"/>
      <c r="J44" s="213"/>
      <c r="K44" s="213"/>
      <c r="L44" s="213"/>
      <c r="M44" s="213"/>
      <c r="N44" s="213"/>
    </row>
    <row r="45" spans="4:14">
      <c r="H45" s="213"/>
      <c r="I45" s="213"/>
      <c r="J45" s="213"/>
      <c r="K45" s="213"/>
      <c r="L45" s="213"/>
      <c r="M45" s="213"/>
      <c r="N45" s="213"/>
    </row>
    <row r="46" spans="4:14">
      <c r="H46" s="213"/>
      <c r="I46" s="213"/>
      <c r="J46" s="213"/>
      <c r="K46" s="213"/>
      <c r="L46" s="213"/>
      <c r="M46" s="213"/>
      <c r="N46" s="213"/>
    </row>
    <row r="47" spans="4:14">
      <c r="H47" s="213"/>
      <c r="I47" s="213"/>
      <c r="J47" s="213"/>
      <c r="K47" s="213"/>
      <c r="L47" s="213"/>
      <c r="M47" s="213"/>
      <c r="N47" s="213"/>
    </row>
    <row r="48" spans="4:14">
      <c r="H48" s="213"/>
      <c r="I48" s="213"/>
      <c r="J48" s="213"/>
      <c r="K48" s="213"/>
      <c r="L48" s="213"/>
      <c r="M48" s="213"/>
      <c r="N48" s="213"/>
    </row>
    <row r="49" spans="8:14">
      <c r="H49" s="213"/>
      <c r="I49" s="213"/>
      <c r="J49" s="213"/>
      <c r="K49" s="213"/>
      <c r="L49" s="213"/>
      <c r="M49" s="213"/>
      <c r="N49" s="213"/>
    </row>
    <row r="50" spans="8:14">
      <c r="H50" s="213"/>
      <c r="I50" s="213"/>
      <c r="J50" s="213"/>
      <c r="K50" s="213"/>
      <c r="L50" s="213"/>
      <c r="M50" s="213"/>
      <c r="N50" s="213"/>
    </row>
    <row r="51" spans="8:14">
      <c r="H51" s="213"/>
      <c r="I51" s="213"/>
      <c r="J51" s="213"/>
      <c r="K51" s="213"/>
      <c r="L51" s="213"/>
      <c r="M51" s="213"/>
      <c r="N51" s="213"/>
    </row>
    <row r="52" spans="8:14">
      <c r="H52" s="213"/>
      <c r="I52" s="213"/>
      <c r="J52" s="213"/>
      <c r="K52" s="213"/>
      <c r="L52" s="213"/>
      <c r="M52" s="213"/>
      <c r="N52" s="213"/>
    </row>
    <row r="53" spans="8:14">
      <c r="H53" s="213"/>
      <c r="I53" s="213"/>
      <c r="J53" s="213"/>
      <c r="K53" s="213"/>
      <c r="L53" s="213"/>
      <c r="M53" s="213"/>
      <c r="N53" s="213"/>
    </row>
    <row r="54" spans="8:14">
      <c r="H54" s="213"/>
      <c r="I54" s="213"/>
      <c r="J54" s="213"/>
      <c r="K54" s="213"/>
      <c r="L54" s="213"/>
      <c r="M54" s="213"/>
      <c r="N54" s="213"/>
    </row>
    <row r="55" spans="8:14">
      <c r="H55" s="213"/>
      <c r="I55" s="213"/>
      <c r="J55" s="213"/>
      <c r="K55" s="213"/>
      <c r="L55" s="213"/>
      <c r="M55" s="213"/>
      <c r="N55" s="213"/>
    </row>
    <row r="56" spans="8:14">
      <c r="H56" s="213"/>
      <c r="I56" s="213"/>
      <c r="J56" s="213"/>
      <c r="K56" s="213"/>
      <c r="L56" s="213"/>
      <c r="M56" s="213"/>
      <c r="N56" s="213"/>
    </row>
    <row r="57" spans="8:14">
      <c r="H57" s="213"/>
      <c r="I57" s="213"/>
      <c r="J57" s="213"/>
      <c r="K57" s="213"/>
      <c r="L57" s="213"/>
      <c r="M57" s="213"/>
      <c r="N57" s="213"/>
    </row>
    <row r="58" spans="8:14">
      <c r="H58" s="213"/>
      <c r="I58" s="213"/>
      <c r="J58" s="213"/>
      <c r="K58" s="213"/>
      <c r="L58" s="213"/>
      <c r="M58" s="213"/>
      <c r="N58" s="213"/>
    </row>
    <row r="59" spans="8:14">
      <c r="H59" s="213"/>
      <c r="I59" s="213"/>
      <c r="J59" s="213"/>
      <c r="K59" s="213"/>
      <c r="L59" s="213"/>
      <c r="M59" s="213"/>
      <c r="N59" s="213"/>
    </row>
    <row r="60" spans="8:14">
      <c r="H60" s="213"/>
      <c r="I60" s="213"/>
      <c r="J60" s="213"/>
      <c r="K60" s="213"/>
      <c r="L60" s="213"/>
      <c r="M60" s="213"/>
      <c r="N60" s="213"/>
    </row>
    <row r="61" spans="8:14">
      <c r="H61" s="213"/>
      <c r="I61" s="213"/>
      <c r="J61" s="213"/>
      <c r="K61" s="213"/>
      <c r="L61" s="213"/>
      <c r="M61" s="213"/>
      <c r="N61" s="213"/>
    </row>
    <row r="62" spans="8:14">
      <c r="H62" s="213"/>
      <c r="I62" s="213"/>
      <c r="J62" s="213"/>
      <c r="K62" s="213"/>
      <c r="L62" s="213"/>
      <c r="M62" s="213"/>
      <c r="N62" s="213"/>
    </row>
    <row r="63" spans="8:14">
      <c r="H63" s="213"/>
      <c r="I63" s="213"/>
      <c r="J63" s="213"/>
      <c r="K63" s="213"/>
      <c r="L63" s="213"/>
      <c r="M63" s="213"/>
      <c r="N63" s="213"/>
    </row>
    <row r="64" spans="8:14">
      <c r="H64" s="213"/>
      <c r="I64" s="213"/>
      <c r="J64" s="213"/>
      <c r="K64" s="213"/>
      <c r="L64" s="213"/>
      <c r="M64" s="213"/>
      <c r="N64" s="213"/>
    </row>
    <row r="65" spans="8:14">
      <c r="H65" s="213"/>
      <c r="I65" s="213"/>
      <c r="J65" s="213"/>
      <c r="K65" s="213"/>
      <c r="L65" s="213"/>
      <c r="M65" s="213"/>
      <c r="N65" s="213"/>
    </row>
    <row r="66" spans="8:14">
      <c r="H66" s="213"/>
      <c r="I66" s="213"/>
      <c r="J66" s="213"/>
      <c r="K66" s="213"/>
      <c r="L66" s="213"/>
      <c r="M66" s="213"/>
      <c r="N66" s="213"/>
    </row>
    <row r="67" spans="8:14">
      <c r="H67" s="213"/>
      <c r="I67" s="213"/>
      <c r="J67" s="213"/>
      <c r="K67" s="213"/>
      <c r="L67" s="213"/>
      <c r="M67" s="213"/>
      <c r="N67" s="213"/>
    </row>
    <row r="68" spans="8:14">
      <c r="H68" s="213"/>
      <c r="I68" s="213"/>
      <c r="J68" s="213"/>
      <c r="K68" s="213"/>
      <c r="L68" s="213"/>
      <c r="M68" s="213"/>
      <c r="N68" s="213"/>
    </row>
    <row r="69" spans="8:14">
      <c r="H69" s="213"/>
      <c r="I69" s="213"/>
      <c r="J69" s="213"/>
      <c r="K69" s="213"/>
      <c r="L69" s="213"/>
      <c r="M69" s="213"/>
      <c r="N69" s="213"/>
    </row>
    <row r="70" spans="8:14">
      <c r="H70" s="213"/>
      <c r="I70" s="213"/>
      <c r="J70" s="213"/>
      <c r="K70" s="213"/>
      <c r="L70" s="213"/>
      <c r="M70" s="213"/>
      <c r="N70" s="213"/>
    </row>
    <row r="71" spans="8:14">
      <c r="H71" s="213"/>
      <c r="I71" s="213"/>
      <c r="J71" s="213"/>
      <c r="K71" s="213"/>
      <c r="L71" s="213"/>
      <c r="M71" s="213"/>
      <c r="N71" s="213"/>
    </row>
    <row r="72" spans="8:14">
      <c r="H72" s="213"/>
      <c r="I72" s="213"/>
      <c r="J72" s="213"/>
      <c r="K72" s="213"/>
      <c r="L72" s="213"/>
      <c r="M72" s="213"/>
      <c r="N72" s="213"/>
    </row>
    <row r="73" spans="8:14">
      <c r="H73" s="213"/>
      <c r="I73" s="213"/>
      <c r="J73" s="213"/>
      <c r="K73" s="213"/>
      <c r="L73" s="213"/>
      <c r="M73" s="213"/>
      <c r="N73" s="213"/>
    </row>
    <row r="74" spans="8:14">
      <c r="H74" s="213"/>
      <c r="I74" s="213"/>
      <c r="J74" s="213"/>
      <c r="K74" s="213"/>
      <c r="L74" s="213"/>
      <c r="M74" s="213"/>
      <c r="N74" s="213"/>
    </row>
    <row r="75" spans="8:14">
      <c r="H75" s="213"/>
      <c r="I75" s="213"/>
      <c r="J75" s="213"/>
      <c r="K75" s="213"/>
      <c r="L75" s="213"/>
      <c r="M75" s="213"/>
      <c r="N75" s="213"/>
    </row>
    <row r="76" spans="8:14">
      <c r="H76" s="213"/>
      <c r="I76" s="213"/>
      <c r="J76" s="213"/>
      <c r="K76" s="213"/>
      <c r="L76" s="213"/>
      <c r="M76" s="213"/>
      <c r="N76" s="213"/>
    </row>
    <row r="77" spans="8:14">
      <c r="H77" s="213"/>
      <c r="I77" s="213"/>
      <c r="J77" s="213"/>
      <c r="K77" s="213"/>
      <c r="L77" s="213"/>
      <c r="M77" s="213"/>
      <c r="N77" s="213"/>
    </row>
    <row r="78" spans="8:14">
      <c r="H78" s="213"/>
      <c r="I78" s="213"/>
      <c r="J78" s="213"/>
      <c r="K78" s="213"/>
      <c r="L78" s="213"/>
      <c r="M78" s="213"/>
      <c r="N78" s="213"/>
    </row>
    <row r="79" spans="8:14">
      <c r="H79" s="213"/>
      <c r="I79" s="213"/>
      <c r="J79" s="213"/>
      <c r="K79" s="213"/>
      <c r="L79" s="213"/>
      <c r="M79" s="213"/>
      <c r="N79" s="213"/>
    </row>
    <row r="80" spans="8:14">
      <c r="H80" s="213"/>
      <c r="I80" s="213"/>
      <c r="J80" s="213"/>
      <c r="K80" s="213"/>
      <c r="L80" s="213"/>
      <c r="M80" s="213"/>
      <c r="N80" s="213"/>
    </row>
    <row r="81" spans="8:14">
      <c r="H81" s="213"/>
      <c r="I81" s="213"/>
      <c r="J81" s="213"/>
      <c r="K81" s="213"/>
      <c r="L81" s="213"/>
      <c r="M81" s="213"/>
      <c r="N81" s="213"/>
    </row>
    <row r="82" spans="8:14">
      <c r="H82" s="213"/>
      <c r="I82" s="213"/>
      <c r="J82" s="213"/>
      <c r="K82" s="213"/>
      <c r="L82" s="213"/>
      <c r="M82" s="213"/>
      <c r="N82" s="213"/>
    </row>
    <row r="83" spans="8:14">
      <c r="H83" s="213"/>
      <c r="I83" s="213"/>
      <c r="J83" s="213"/>
      <c r="K83" s="213"/>
      <c r="L83" s="213"/>
      <c r="M83" s="213"/>
      <c r="N83" s="213"/>
    </row>
    <row r="84" spans="8:14">
      <c r="H84" s="213"/>
      <c r="I84" s="213"/>
      <c r="J84" s="213"/>
      <c r="K84" s="213"/>
      <c r="L84" s="213"/>
      <c r="M84" s="213"/>
      <c r="N84" s="213"/>
    </row>
    <row r="85" spans="8:14">
      <c r="H85" s="213"/>
      <c r="I85" s="213"/>
      <c r="J85" s="213"/>
      <c r="K85" s="213"/>
      <c r="L85" s="213"/>
      <c r="M85" s="213"/>
      <c r="N85" s="213"/>
    </row>
    <row r="86" spans="8:14">
      <c r="H86" s="213"/>
      <c r="I86" s="213"/>
      <c r="J86" s="213"/>
      <c r="K86" s="213"/>
      <c r="L86" s="213"/>
      <c r="M86" s="213"/>
      <c r="N86" s="213"/>
    </row>
    <row r="87" spans="8:14">
      <c r="H87" s="213"/>
      <c r="I87" s="213"/>
      <c r="J87" s="213"/>
      <c r="K87" s="213"/>
      <c r="L87" s="213"/>
      <c r="M87" s="213"/>
      <c r="N87" s="213"/>
    </row>
    <row r="88" spans="8:14">
      <c r="H88" s="213"/>
      <c r="I88" s="213"/>
      <c r="J88" s="213"/>
      <c r="K88" s="213"/>
      <c r="L88" s="213"/>
      <c r="M88" s="213"/>
      <c r="N88" s="213"/>
    </row>
    <row r="89" spans="8:14">
      <c r="H89" s="213"/>
      <c r="I89" s="213"/>
      <c r="J89" s="213"/>
      <c r="K89" s="213"/>
      <c r="L89" s="213"/>
      <c r="M89" s="213"/>
      <c r="N89" s="213"/>
    </row>
    <row r="90" spans="8:14">
      <c r="H90" s="213"/>
      <c r="I90" s="213"/>
      <c r="J90" s="213"/>
      <c r="K90" s="213"/>
      <c r="L90" s="213"/>
      <c r="M90" s="213"/>
      <c r="N90" s="213"/>
    </row>
    <row r="91" spans="8:14">
      <c r="H91" s="213"/>
      <c r="I91" s="213"/>
      <c r="J91" s="213"/>
      <c r="K91" s="213"/>
      <c r="L91" s="213"/>
      <c r="M91" s="213"/>
      <c r="N91" s="213"/>
    </row>
    <row r="92" spans="8:14">
      <c r="H92" s="213"/>
      <c r="I92" s="213"/>
      <c r="J92" s="213"/>
      <c r="K92" s="213"/>
      <c r="L92" s="213"/>
      <c r="M92" s="213"/>
      <c r="N92" s="213"/>
    </row>
    <row r="93" spans="8:14">
      <c r="H93" s="213"/>
      <c r="I93" s="213"/>
      <c r="J93" s="213"/>
      <c r="K93" s="213"/>
      <c r="L93" s="213"/>
      <c r="M93" s="213"/>
      <c r="N93" s="213"/>
    </row>
    <row r="94" spans="8:14">
      <c r="H94" s="213"/>
      <c r="I94" s="213"/>
      <c r="J94" s="213"/>
      <c r="K94" s="213"/>
      <c r="L94" s="213"/>
      <c r="M94" s="213"/>
      <c r="N94" s="213"/>
    </row>
    <row r="95" spans="8:14">
      <c r="H95" s="213"/>
      <c r="I95" s="213"/>
      <c r="J95" s="213"/>
      <c r="K95" s="213"/>
      <c r="L95" s="213"/>
      <c r="M95" s="213"/>
      <c r="N95" s="213"/>
    </row>
    <row r="96" spans="8:14">
      <c r="H96" s="213"/>
      <c r="I96" s="213"/>
      <c r="J96" s="213"/>
      <c r="K96" s="213"/>
      <c r="L96" s="213"/>
      <c r="M96" s="213"/>
      <c r="N96" s="213"/>
    </row>
    <row r="97" spans="8:14">
      <c r="H97" s="213"/>
      <c r="I97" s="213"/>
      <c r="J97" s="213"/>
      <c r="K97" s="213"/>
      <c r="L97" s="213"/>
      <c r="M97" s="213"/>
      <c r="N97" s="213"/>
    </row>
    <row r="98" spans="8:14">
      <c r="H98" s="213"/>
      <c r="I98" s="213"/>
      <c r="J98" s="213"/>
      <c r="K98" s="213"/>
      <c r="L98" s="213"/>
      <c r="M98" s="213"/>
      <c r="N98" s="213"/>
    </row>
    <row r="99" spans="8:14">
      <c r="H99" s="213"/>
      <c r="I99" s="213"/>
      <c r="J99" s="213"/>
      <c r="K99" s="213"/>
      <c r="L99" s="213"/>
      <c r="M99" s="213"/>
      <c r="N99" s="213"/>
    </row>
    <row r="100" spans="8:14">
      <c r="H100" s="213"/>
      <c r="I100" s="213"/>
      <c r="J100" s="213"/>
      <c r="K100" s="213"/>
      <c r="L100" s="213"/>
      <c r="M100" s="213"/>
      <c r="N100" s="213"/>
    </row>
    <row r="101" spans="8:14">
      <c r="H101" s="213"/>
      <c r="I101" s="213"/>
      <c r="J101" s="213"/>
      <c r="K101" s="213"/>
      <c r="L101" s="213"/>
      <c r="M101" s="213"/>
      <c r="N101" s="213"/>
    </row>
    <row r="102" spans="8:14">
      <c r="H102" s="213"/>
      <c r="I102" s="213"/>
      <c r="J102" s="213"/>
      <c r="K102" s="213"/>
      <c r="L102" s="213"/>
      <c r="M102" s="213"/>
      <c r="N102" s="213"/>
    </row>
    <row r="103" spans="8:14">
      <c r="H103" s="213"/>
      <c r="I103" s="213"/>
      <c r="J103" s="213"/>
      <c r="K103" s="213"/>
      <c r="L103" s="213"/>
      <c r="M103" s="213"/>
      <c r="N103" s="213"/>
    </row>
    <row r="104" spans="8:14">
      <c r="H104" s="213"/>
      <c r="I104" s="213"/>
      <c r="J104" s="213"/>
      <c r="K104" s="213"/>
      <c r="L104" s="213"/>
      <c r="M104" s="213"/>
      <c r="N104" s="213"/>
    </row>
    <row r="105" spans="8:14">
      <c r="H105" s="213"/>
      <c r="I105" s="213"/>
      <c r="J105" s="213"/>
      <c r="K105" s="213"/>
      <c r="L105" s="213"/>
      <c r="M105" s="213"/>
      <c r="N105" s="213"/>
    </row>
    <row r="106" spans="8:14">
      <c r="H106" s="213"/>
      <c r="I106" s="213"/>
      <c r="J106" s="213"/>
      <c r="K106" s="213"/>
      <c r="L106" s="213"/>
      <c r="M106" s="213"/>
      <c r="N106" s="213"/>
    </row>
    <row r="107" spans="8:14">
      <c r="H107" s="213"/>
      <c r="I107" s="213"/>
      <c r="J107" s="213"/>
      <c r="K107" s="213"/>
      <c r="L107" s="213"/>
      <c r="M107" s="213"/>
      <c r="N107" s="213"/>
    </row>
    <row r="108" spans="8:14">
      <c r="H108" s="213"/>
      <c r="I108" s="213"/>
      <c r="J108" s="213"/>
      <c r="K108" s="213"/>
      <c r="L108" s="213"/>
      <c r="M108" s="213"/>
      <c r="N108" s="213"/>
    </row>
    <row r="109" spans="8:14">
      <c r="H109" s="213"/>
      <c r="I109" s="213"/>
      <c r="J109" s="213"/>
      <c r="K109" s="213"/>
      <c r="L109" s="213"/>
      <c r="M109" s="213"/>
      <c r="N109" s="213"/>
    </row>
    <row r="110" spans="8:14">
      <c r="H110" s="213"/>
      <c r="I110" s="213"/>
      <c r="J110" s="213"/>
      <c r="K110" s="213"/>
      <c r="L110" s="213"/>
      <c r="M110" s="213"/>
      <c r="N110" s="213"/>
    </row>
    <row r="111" spans="8:14">
      <c r="H111" s="213"/>
      <c r="I111" s="213"/>
      <c r="J111" s="213"/>
      <c r="K111" s="213"/>
      <c r="L111" s="213"/>
      <c r="M111" s="213"/>
      <c r="N111" s="213"/>
    </row>
    <row r="112" spans="8:14">
      <c r="H112" s="213"/>
      <c r="I112" s="213"/>
      <c r="J112" s="213"/>
      <c r="K112" s="213"/>
      <c r="L112" s="213"/>
      <c r="M112" s="213"/>
      <c r="N112" s="213"/>
    </row>
    <row r="113" spans="8:14">
      <c r="H113" s="213"/>
      <c r="I113" s="213"/>
      <c r="J113" s="213"/>
      <c r="K113" s="213"/>
      <c r="L113" s="213"/>
      <c r="M113" s="213"/>
      <c r="N113" s="213"/>
    </row>
    <row r="114" spans="8:14">
      <c r="H114" s="213"/>
      <c r="I114" s="213"/>
      <c r="J114" s="213"/>
      <c r="K114" s="213"/>
      <c r="L114" s="213"/>
      <c r="M114" s="213"/>
      <c r="N114" s="213"/>
    </row>
    <row r="115" spans="8:14">
      <c r="H115" s="213"/>
      <c r="I115" s="213"/>
      <c r="J115" s="213"/>
      <c r="K115" s="213"/>
      <c r="L115" s="213"/>
      <c r="M115" s="213"/>
      <c r="N115" s="213"/>
    </row>
    <row r="116" spans="8:14">
      <c r="H116" s="213"/>
      <c r="I116" s="213"/>
      <c r="J116" s="213"/>
      <c r="K116" s="213"/>
      <c r="L116" s="213"/>
      <c r="M116" s="213"/>
      <c r="N116" s="213"/>
    </row>
    <row r="117" spans="8:14">
      <c r="H117" s="213"/>
      <c r="I117" s="213"/>
      <c r="J117" s="213"/>
      <c r="K117" s="213"/>
      <c r="L117" s="213"/>
      <c r="M117" s="213"/>
      <c r="N117" s="213"/>
    </row>
    <row r="118" spans="8:14">
      <c r="H118" s="213"/>
      <c r="I118" s="213"/>
      <c r="J118" s="213"/>
      <c r="K118" s="213"/>
      <c r="L118" s="213"/>
      <c r="M118" s="213"/>
      <c r="N118" s="213"/>
    </row>
    <row r="119" spans="8:14">
      <c r="H119" s="213"/>
      <c r="I119" s="213"/>
      <c r="J119" s="213"/>
      <c r="K119" s="213"/>
      <c r="L119" s="213"/>
      <c r="M119" s="213"/>
      <c r="N119" s="213"/>
    </row>
    <row r="120" spans="8:14">
      <c r="H120" s="213"/>
      <c r="I120" s="213"/>
      <c r="J120" s="213"/>
      <c r="K120" s="213"/>
      <c r="L120" s="213"/>
      <c r="M120" s="213"/>
      <c r="N120" s="213"/>
    </row>
    <row r="121" spans="8:14">
      <c r="H121" s="213"/>
      <c r="I121" s="213"/>
      <c r="J121" s="213"/>
      <c r="K121" s="213"/>
      <c r="L121" s="213"/>
      <c r="M121" s="213"/>
      <c r="N121" s="213"/>
    </row>
    <row r="122" spans="8:14">
      <c r="H122" s="213"/>
      <c r="I122" s="213"/>
      <c r="J122" s="213"/>
      <c r="K122" s="213"/>
      <c r="L122" s="213"/>
      <c r="M122" s="213"/>
      <c r="N122" s="213"/>
    </row>
    <row r="123" spans="8:14">
      <c r="H123" s="213"/>
      <c r="I123" s="213"/>
      <c r="J123" s="213"/>
      <c r="K123" s="213"/>
      <c r="L123" s="213"/>
      <c r="M123" s="213"/>
      <c r="N123" s="213"/>
    </row>
    <row r="124" spans="8:14">
      <c r="H124" s="213"/>
      <c r="I124" s="213"/>
      <c r="J124" s="213"/>
      <c r="K124" s="213"/>
      <c r="L124" s="213"/>
      <c r="M124" s="213"/>
      <c r="N124" s="213"/>
    </row>
    <row r="125" spans="8:14">
      <c r="H125" s="213"/>
      <c r="I125" s="213"/>
      <c r="J125" s="213"/>
      <c r="K125" s="213"/>
      <c r="L125" s="213"/>
      <c r="M125" s="213"/>
      <c r="N125" s="213"/>
    </row>
    <row r="126" spans="8:14">
      <c r="H126" s="213"/>
      <c r="I126" s="213"/>
      <c r="J126" s="213"/>
      <c r="K126" s="213"/>
      <c r="L126" s="213"/>
      <c r="M126" s="213"/>
      <c r="N126" s="213"/>
    </row>
    <row r="127" spans="8:14">
      <c r="H127" s="213"/>
      <c r="I127" s="213"/>
      <c r="J127" s="213"/>
      <c r="K127" s="213"/>
      <c r="L127" s="213"/>
      <c r="M127" s="213"/>
      <c r="N127" s="213"/>
    </row>
    <row r="128" spans="8:14">
      <c r="H128" s="213"/>
      <c r="I128" s="213"/>
      <c r="J128" s="213"/>
      <c r="K128" s="213"/>
      <c r="L128" s="213"/>
      <c r="M128" s="213"/>
      <c r="N128" s="213"/>
    </row>
    <row r="129" spans="8:14">
      <c r="H129" s="213"/>
      <c r="I129" s="213"/>
      <c r="J129" s="213"/>
      <c r="K129" s="213"/>
      <c r="L129" s="213"/>
      <c r="M129" s="213"/>
      <c r="N129" s="213"/>
    </row>
    <row r="130" spans="8:14">
      <c r="H130" s="213"/>
      <c r="I130" s="213"/>
      <c r="J130" s="213"/>
      <c r="K130" s="213"/>
      <c r="L130" s="213"/>
      <c r="M130" s="213"/>
      <c r="N130" s="213"/>
    </row>
    <row r="131" spans="8:14">
      <c r="H131" s="213"/>
      <c r="I131" s="213"/>
      <c r="J131" s="213"/>
      <c r="K131" s="213"/>
      <c r="L131" s="213"/>
      <c r="M131" s="213"/>
      <c r="N131" s="213"/>
    </row>
    <row r="132" spans="8:14">
      <c r="H132" s="213"/>
      <c r="I132" s="213"/>
      <c r="J132" s="213"/>
      <c r="K132" s="213"/>
      <c r="L132" s="213"/>
      <c r="M132" s="213"/>
      <c r="N132" s="213"/>
    </row>
    <row r="133" spans="8:14">
      <c r="H133" s="213"/>
      <c r="I133" s="213"/>
      <c r="J133" s="213"/>
      <c r="K133" s="213"/>
      <c r="L133" s="213"/>
      <c r="M133" s="213"/>
      <c r="N133" s="213"/>
    </row>
    <row r="134" spans="8:14">
      <c r="H134" s="213"/>
      <c r="I134" s="213"/>
      <c r="J134" s="213"/>
      <c r="K134" s="213"/>
      <c r="L134" s="213"/>
      <c r="M134" s="213"/>
      <c r="N134" s="213"/>
    </row>
    <row r="135" spans="8:14">
      <c r="H135" s="213"/>
      <c r="I135" s="213"/>
      <c r="J135" s="213"/>
      <c r="K135" s="213"/>
      <c r="L135" s="213"/>
      <c r="M135" s="213"/>
      <c r="N135" s="213"/>
    </row>
    <row r="136" spans="8:14">
      <c r="H136" s="213"/>
      <c r="I136" s="213"/>
      <c r="J136" s="213"/>
      <c r="K136" s="213"/>
      <c r="L136" s="213"/>
      <c r="M136" s="213"/>
      <c r="N136" s="213"/>
    </row>
    <row r="137" spans="8:14">
      <c r="H137" s="213"/>
      <c r="I137" s="213"/>
      <c r="J137" s="213"/>
      <c r="K137" s="213"/>
      <c r="L137" s="213"/>
      <c r="M137" s="213"/>
      <c r="N137" s="213"/>
    </row>
    <row r="138" spans="8:14">
      <c r="H138" s="213"/>
      <c r="I138" s="213"/>
      <c r="J138" s="213"/>
      <c r="K138" s="213"/>
      <c r="L138" s="213"/>
      <c r="M138" s="213"/>
      <c r="N138" s="213"/>
    </row>
    <row r="139" spans="8:14">
      <c r="H139" s="213"/>
      <c r="I139" s="213"/>
      <c r="J139" s="213"/>
      <c r="K139" s="213"/>
      <c r="L139" s="213"/>
      <c r="M139" s="213"/>
      <c r="N139" s="213"/>
    </row>
    <row r="140" spans="8:14">
      <c r="H140" s="213"/>
      <c r="I140" s="213"/>
      <c r="J140" s="213"/>
      <c r="K140" s="213"/>
      <c r="L140" s="213"/>
      <c r="M140" s="213"/>
      <c r="N140" s="213"/>
    </row>
    <row r="141" spans="8:14">
      <c r="H141" s="213"/>
      <c r="I141" s="213"/>
      <c r="J141" s="213"/>
      <c r="K141" s="213"/>
      <c r="L141" s="213"/>
      <c r="M141" s="213"/>
      <c r="N141" s="213"/>
    </row>
    <row r="142" spans="8:14">
      <c r="H142" s="213"/>
      <c r="I142" s="213"/>
      <c r="J142" s="213"/>
      <c r="K142" s="213"/>
      <c r="L142" s="213"/>
      <c r="M142" s="213"/>
      <c r="N142" s="213"/>
    </row>
    <row r="143" spans="8:14">
      <c r="H143" s="213"/>
      <c r="I143" s="213"/>
      <c r="J143" s="213"/>
      <c r="K143" s="213"/>
      <c r="L143" s="213"/>
      <c r="M143" s="213"/>
      <c r="N143" s="213"/>
    </row>
    <row r="144" spans="8:14">
      <c r="H144" s="213"/>
      <c r="I144" s="213"/>
      <c r="J144" s="213"/>
      <c r="K144" s="213"/>
      <c r="L144" s="213"/>
      <c r="M144" s="213"/>
      <c r="N144" s="213"/>
    </row>
    <row r="145" spans="8:14">
      <c r="H145" s="213"/>
      <c r="I145" s="213"/>
      <c r="J145" s="213"/>
      <c r="K145" s="213"/>
      <c r="L145" s="213"/>
      <c r="M145" s="213"/>
      <c r="N145" s="213"/>
    </row>
    <row r="146" spans="8:14">
      <c r="H146" s="213"/>
      <c r="I146" s="213"/>
      <c r="J146" s="213"/>
      <c r="K146" s="213"/>
      <c r="L146" s="213"/>
      <c r="M146" s="213"/>
      <c r="N146" s="213"/>
    </row>
    <row r="147" spans="8:14">
      <c r="H147" s="213"/>
      <c r="I147" s="213"/>
      <c r="J147" s="213"/>
      <c r="K147" s="213"/>
      <c r="L147" s="213"/>
      <c r="M147" s="213"/>
      <c r="N147" s="213"/>
    </row>
    <row r="148" spans="8:14">
      <c r="H148" s="213"/>
      <c r="I148" s="213"/>
      <c r="J148" s="213"/>
      <c r="K148" s="213"/>
      <c r="L148" s="213"/>
      <c r="M148" s="213"/>
      <c r="N148" s="213"/>
    </row>
    <row r="149" spans="8:14">
      <c r="H149" s="213"/>
      <c r="I149" s="213"/>
      <c r="J149" s="213"/>
      <c r="K149" s="213"/>
      <c r="L149" s="213"/>
      <c r="M149" s="213"/>
      <c r="N149" s="213"/>
    </row>
    <row r="150" spans="8:14">
      <c r="H150" s="213"/>
      <c r="I150" s="213"/>
      <c r="J150" s="213"/>
      <c r="K150" s="213"/>
      <c r="L150" s="213"/>
      <c r="M150" s="213"/>
      <c r="N150" s="213"/>
    </row>
    <row r="151" spans="8:14">
      <c r="H151" s="213"/>
      <c r="I151" s="213"/>
      <c r="J151" s="213"/>
      <c r="K151" s="213"/>
      <c r="L151" s="213"/>
      <c r="M151" s="213"/>
      <c r="N151" s="213"/>
    </row>
    <row r="152" spans="8:14">
      <c r="H152" s="213"/>
      <c r="I152" s="213"/>
      <c r="J152" s="213"/>
      <c r="K152" s="213"/>
      <c r="L152" s="213"/>
      <c r="M152" s="213"/>
      <c r="N152" s="213"/>
    </row>
    <row r="153" spans="8:14">
      <c r="H153" s="213"/>
      <c r="I153" s="213"/>
      <c r="J153" s="213"/>
      <c r="K153" s="213"/>
      <c r="L153" s="213"/>
      <c r="M153" s="213"/>
      <c r="N153" s="213"/>
    </row>
    <row r="154" spans="8:14">
      <c r="H154" s="213"/>
      <c r="I154" s="213"/>
      <c r="J154" s="213"/>
      <c r="K154" s="213"/>
      <c r="L154" s="213"/>
      <c r="M154" s="213"/>
      <c r="N154" s="213"/>
    </row>
    <row r="155" spans="8:14">
      <c r="H155" s="213"/>
      <c r="I155" s="213"/>
      <c r="J155" s="213"/>
      <c r="K155" s="213"/>
      <c r="L155" s="213"/>
      <c r="M155" s="213"/>
      <c r="N155" s="213"/>
    </row>
    <row r="156" spans="8:14">
      <c r="H156" s="213"/>
      <c r="I156" s="213"/>
      <c r="J156" s="213"/>
      <c r="K156" s="213"/>
      <c r="L156" s="213"/>
      <c r="M156" s="213"/>
      <c r="N156" s="213"/>
    </row>
    <row r="157" spans="8:14">
      <c r="H157" s="213"/>
      <c r="I157" s="213"/>
      <c r="J157" s="213"/>
      <c r="K157" s="213"/>
      <c r="L157" s="213"/>
      <c r="M157" s="213"/>
      <c r="N157" s="213"/>
    </row>
    <row r="158" spans="8:14">
      <c r="H158" s="213"/>
      <c r="I158" s="213"/>
      <c r="J158" s="213"/>
      <c r="K158" s="213"/>
      <c r="L158" s="213"/>
      <c r="M158" s="213"/>
      <c r="N158" s="213"/>
    </row>
    <row r="159" spans="8:14">
      <c r="H159" s="213"/>
      <c r="I159" s="213"/>
      <c r="J159" s="213"/>
      <c r="K159" s="213"/>
      <c r="L159" s="213"/>
      <c r="M159" s="213"/>
      <c r="N159" s="213"/>
    </row>
    <row r="160" spans="8:14">
      <c r="H160" s="213"/>
      <c r="I160" s="213"/>
      <c r="J160" s="213"/>
      <c r="K160" s="213"/>
      <c r="L160" s="213"/>
      <c r="M160" s="213"/>
      <c r="N160" s="213"/>
    </row>
    <row r="161" spans="8:14">
      <c r="H161" s="213"/>
      <c r="I161" s="213"/>
      <c r="J161" s="213"/>
      <c r="K161" s="213"/>
      <c r="L161" s="213"/>
      <c r="M161" s="213"/>
      <c r="N161" s="213"/>
    </row>
    <row r="162" spans="8:14">
      <c r="H162" s="213"/>
      <c r="I162" s="213"/>
      <c r="J162" s="213"/>
      <c r="K162" s="213"/>
      <c r="L162" s="213"/>
      <c r="M162" s="213"/>
      <c r="N162" s="213"/>
    </row>
    <row r="163" spans="8:14">
      <c r="H163" s="213"/>
      <c r="I163" s="213"/>
      <c r="J163" s="213"/>
      <c r="K163" s="213"/>
      <c r="L163" s="213"/>
      <c r="M163" s="213"/>
      <c r="N163" s="213"/>
    </row>
    <row r="164" spans="8:14">
      <c r="H164" s="213"/>
      <c r="I164" s="213"/>
      <c r="J164" s="213"/>
      <c r="K164" s="213"/>
      <c r="L164" s="213"/>
      <c r="M164" s="213"/>
      <c r="N164" s="213"/>
    </row>
    <row r="165" spans="8:14">
      <c r="H165" s="213"/>
      <c r="I165" s="213"/>
      <c r="J165" s="213"/>
      <c r="K165" s="213"/>
      <c r="L165" s="213"/>
      <c r="M165" s="213"/>
      <c r="N165" s="213"/>
    </row>
    <row r="166" spans="8:14">
      <c r="H166" s="213"/>
      <c r="I166" s="213"/>
      <c r="J166" s="213"/>
      <c r="K166" s="213"/>
      <c r="L166" s="213"/>
      <c r="M166" s="213"/>
      <c r="N166" s="213"/>
    </row>
    <row r="167" spans="8:14">
      <c r="H167" s="213"/>
      <c r="I167" s="213"/>
      <c r="J167" s="213"/>
      <c r="K167" s="213"/>
      <c r="L167" s="213"/>
      <c r="M167" s="213"/>
      <c r="N167" s="213"/>
    </row>
    <row r="168" spans="8:14">
      <c r="H168" s="213"/>
      <c r="I168" s="213"/>
      <c r="J168" s="213"/>
      <c r="K168" s="213"/>
      <c r="L168" s="213"/>
      <c r="M168" s="213"/>
      <c r="N168" s="213"/>
    </row>
    <row r="169" spans="8:14">
      <c r="H169" s="213"/>
      <c r="I169" s="213"/>
      <c r="J169" s="213"/>
      <c r="K169" s="213"/>
      <c r="L169" s="213"/>
      <c r="M169" s="213"/>
      <c r="N169" s="213"/>
    </row>
    <row r="170" spans="8:14">
      <c r="H170" s="213"/>
      <c r="I170" s="213"/>
      <c r="J170" s="213"/>
      <c r="K170" s="213"/>
      <c r="L170" s="213"/>
      <c r="M170" s="213"/>
      <c r="N170" s="213"/>
    </row>
    <row r="171" spans="8:14">
      <c r="H171" s="213"/>
      <c r="I171" s="213"/>
      <c r="J171" s="213"/>
      <c r="K171" s="213"/>
      <c r="L171" s="213"/>
      <c r="M171" s="213"/>
      <c r="N171" s="213"/>
    </row>
    <row r="172" spans="8:14">
      <c r="H172" s="213"/>
      <c r="I172" s="213"/>
      <c r="J172" s="213"/>
      <c r="K172" s="213"/>
      <c r="L172" s="213"/>
      <c r="M172" s="213"/>
      <c r="N172" s="213"/>
    </row>
    <row r="173" spans="8:14">
      <c r="H173" s="213"/>
      <c r="I173" s="213"/>
      <c r="J173" s="213"/>
      <c r="K173" s="213"/>
      <c r="L173" s="213"/>
      <c r="M173" s="213"/>
      <c r="N173" s="213"/>
    </row>
    <row r="174" spans="8:14">
      <c r="H174" s="213"/>
      <c r="I174" s="213"/>
      <c r="J174" s="213"/>
      <c r="K174" s="213"/>
      <c r="L174" s="213"/>
      <c r="M174" s="213"/>
      <c r="N174" s="213"/>
    </row>
    <row r="175" spans="8:14">
      <c r="H175" s="213"/>
      <c r="I175" s="213"/>
      <c r="J175" s="213"/>
      <c r="K175" s="213"/>
      <c r="L175" s="213"/>
      <c r="M175" s="213"/>
      <c r="N175" s="213"/>
    </row>
    <row r="176" spans="8:14">
      <c r="H176" s="213"/>
      <c r="I176" s="213"/>
      <c r="J176" s="213"/>
      <c r="K176" s="213"/>
      <c r="L176" s="213"/>
      <c r="M176" s="213"/>
      <c r="N176" s="213"/>
    </row>
    <row r="177" spans="8:14">
      <c r="H177" s="213"/>
      <c r="I177" s="213"/>
      <c r="J177" s="213"/>
      <c r="K177" s="213"/>
      <c r="L177" s="213"/>
      <c r="M177" s="213"/>
      <c r="N177" s="213"/>
    </row>
    <row r="178" spans="8:14">
      <c r="H178" s="213"/>
      <c r="I178" s="213"/>
      <c r="J178" s="213"/>
      <c r="K178" s="213"/>
      <c r="L178" s="213"/>
      <c r="M178" s="213"/>
      <c r="N178" s="213"/>
    </row>
    <row r="179" spans="8:14">
      <c r="H179" s="213"/>
      <c r="I179" s="213"/>
      <c r="J179" s="213"/>
      <c r="K179" s="213"/>
      <c r="L179" s="213"/>
      <c r="M179" s="213"/>
      <c r="N179" s="213"/>
    </row>
    <row r="180" spans="8:14">
      <c r="H180" s="213"/>
      <c r="I180" s="213"/>
      <c r="J180" s="213"/>
      <c r="K180" s="213"/>
      <c r="L180" s="213"/>
      <c r="M180" s="213"/>
      <c r="N180" s="213"/>
    </row>
    <row r="181" spans="8:14">
      <c r="H181" s="213"/>
      <c r="I181" s="213"/>
      <c r="J181" s="213"/>
      <c r="K181" s="213"/>
      <c r="L181" s="213"/>
      <c r="M181" s="213"/>
      <c r="N181" s="213"/>
    </row>
    <row r="182" spans="8:14">
      <c r="H182" s="213"/>
      <c r="I182" s="213"/>
      <c r="J182" s="213"/>
      <c r="K182" s="213"/>
      <c r="L182" s="213"/>
      <c r="M182" s="213"/>
      <c r="N182" s="213"/>
    </row>
    <row r="183" spans="8:14">
      <c r="H183" s="213"/>
      <c r="I183" s="213"/>
      <c r="J183" s="213"/>
      <c r="K183" s="213"/>
      <c r="L183" s="213"/>
      <c r="M183" s="213"/>
      <c r="N183" s="213"/>
    </row>
    <row r="184" spans="8:14">
      <c r="H184" s="213"/>
      <c r="I184" s="213"/>
      <c r="J184" s="213"/>
      <c r="K184" s="213"/>
      <c r="L184" s="213"/>
      <c r="M184" s="213"/>
      <c r="N184" s="213"/>
    </row>
    <row r="185" spans="8:14">
      <c r="H185" s="213"/>
      <c r="I185" s="213"/>
      <c r="J185" s="213"/>
      <c r="K185" s="213"/>
      <c r="L185" s="213"/>
      <c r="M185" s="213"/>
      <c r="N185" s="213"/>
    </row>
    <row r="186" spans="8:14">
      <c r="H186" s="213"/>
      <c r="I186" s="213"/>
      <c r="J186" s="213"/>
      <c r="K186" s="213"/>
      <c r="L186" s="213"/>
      <c r="M186" s="213"/>
      <c r="N186" s="213"/>
    </row>
    <row r="187" spans="8:14">
      <c r="H187" s="213"/>
      <c r="I187" s="213"/>
      <c r="J187" s="213"/>
      <c r="K187" s="213"/>
      <c r="L187" s="213"/>
      <c r="M187" s="213"/>
      <c r="N187" s="213"/>
    </row>
    <row r="188" spans="8:14">
      <c r="H188" s="213"/>
      <c r="I188" s="213"/>
      <c r="J188" s="213"/>
      <c r="K188" s="213"/>
      <c r="L188" s="213"/>
      <c r="M188" s="213"/>
      <c r="N188" s="213"/>
    </row>
    <row r="189" spans="8:14">
      <c r="H189" s="213"/>
      <c r="I189" s="213"/>
      <c r="J189" s="213"/>
      <c r="K189" s="213"/>
      <c r="L189" s="213"/>
      <c r="M189" s="213"/>
      <c r="N189" s="213"/>
    </row>
    <row r="190" spans="8:14">
      <c r="H190" s="213"/>
      <c r="I190" s="213"/>
      <c r="J190" s="213"/>
      <c r="K190" s="213"/>
      <c r="L190" s="213"/>
      <c r="M190" s="213"/>
      <c r="N190" s="213"/>
    </row>
    <row r="191" spans="8:14">
      <c r="H191" s="213"/>
      <c r="I191" s="213"/>
      <c r="J191" s="213"/>
      <c r="K191" s="213"/>
      <c r="L191" s="213"/>
      <c r="M191" s="213"/>
      <c r="N191" s="213"/>
    </row>
    <row r="192" spans="8:14">
      <c r="H192" s="213"/>
      <c r="I192" s="213"/>
      <c r="J192" s="213"/>
      <c r="K192" s="213"/>
      <c r="L192" s="213"/>
      <c r="M192" s="213"/>
      <c r="N192" s="213"/>
    </row>
    <row r="193" spans="8:14">
      <c r="H193" s="213"/>
      <c r="I193" s="213"/>
      <c r="J193" s="213"/>
      <c r="K193" s="213"/>
      <c r="L193" s="213"/>
      <c r="M193" s="213"/>
      <c r="N193" s="213"/>
    </row>
    <row r="194" spans="8:14">
      <c r="H194" s="213"/>
      <c r="I194" s="213"/>
      <c r="J194" s="213"/>
      <c r="K194" s="213"/>
      <c r="L194" s="213"/>
      <c r="M194" s="213"/>
      <c r="N194" s="213"/>
    </row>
    <row r="195" spans="8:14">
      <c r="H195" s="213"/>
      <c r="I195" s="213"/>
      <c r="J195" s="213"/>
      <c r="K195" s="213"/>
      <c r="L195" s="213"/>
      <c r="M195" s="213"/>
      <c r="N195" s="213"/>
    </row>
    <row r="196" spans="8:14">
      <c r="H196" s="213"/>
      <c r="I196" s="213"/>
      <c r="J196" s="213"/>
      <c r="K196" s="213"/>
      <c r="L196" s="213"/>
      <c r="M196" s="213"/>
      <c r="N196" s="213"/>
    </row>
    <row r="197" spans="8:14">
      <c r="H197" s="213"/>
      <c r="I197" s="213"/>
      <c r="J197" s="213"/>
      <c r="K197" s="213"/>
      <c r="L197" s="213"/>
      <c r="M197" s="213"/>
      <c r="N197" s="213"/>
    </row>
    <row r="198" spans="8:14">
      <c r="H198" s="213"/>
      <c r="I198" s="213"/>
      <c r="J198" s="213"/>
      <c r="K198" s="213"/>
      <c r="L198" s="213"/>
      <c r="M198" s="213"/>
      <c r="N198" s="213"/>
    </row>
    <row r="199" spans="8:14">
      <c r="H199" s="213"/>
      <c r="I199" s="213"/>
      <c r="J199" s="213"/>
      <c r="K199" s="213"/>
      <c r="L199" s="213"/>
      <c r="M199" s="213"/>
      <c r="N199" s="213"/>
    </row>
    <row r="200" spans="8:14">
      <c r="H200" s="213"/>
      <c r="I200" s="213"/>
      <c r="J200" s="213"/>
      <c r="K200" s="213"/>
      <c r="L200" s="213"/>
      <c r="M200" s="213"/>
      <c r="N200" s="213"/>
    </row>
    <row r="201" spans="8:14">
      <c r="H201" s="213"/>
      <c r="I201" s="213"/>
      <c r="J201" s="213"/>
      <c r="K201" s="213"/>
      <c r="L201" s="213"/>
      <c r="M201" s="213"/>
      <c r="N201" s="213"/>
    </row>
    <row r="202" spans="8:14">
      <c r="H202" s="213"/>
      <c r="I202" s="213"/>
      <c r="J202" s="213"/>
      <c r="K202" s="213"/>
      <c r="L202" s="213"/>
      <c r="M202" s="213"/>
      <c r="N202" s="213"/>
    </row>
    <row r="203" spans="8:14">
      <c r="H203" s="213"/>
      <c r="I203" s="213"/>
      <c r="J203" s="213"/>
      <c r="K203" s="213"/>
      <c r="L203" s="213"/>
      <c r="M203" s="213"/>
      <c r="N203" s="213"/>
    </row>
    <row r="204" spans="8:14">
      <c r="H204" s="213"/>
      <c r="I204" s="213"/>
      <c r="J204" s="213"/>
      <c r="K204" s="213"/>
      <c r="L204" s="213"/>
      <c r="M204" s="213"/>
      <c r="N204" s="213"/>
    </row>
    <row r="205" spans="8:14">
      <c r="H205" s="213"/>
      <c r="I205" s="213"/>
      <c r="J205" s="213"/>
      <c r="K205" s="213"/>
      <c r="L205" s="213"/>
      <c r="M205" s="213"/>
      <c r="N205" s="213"/>
    </row>
    <row r="206" spans="8:14">
      <c r="H206" s="213"/>
      <c r="I206" s="213"/>
      <c r="J206" s="213"/>
      <c r="K206" s="213"/>
      <c r="L206" s="213"/>
      <c r="M206" s="213"/>
      <c r="N206" s="213"/>
    </row>
    <row r="207" spans="8:14">
      <c r="H207" s="213"/>
      <c r="I207" s="213"/>
      <c r="J207" s="213"/>
      <c r="K207" s="213"/>
      <c r="L207" s="213"/>
      <c r="M207" s="213"/>
      <c r="N207" s="213"/>
    </row>
    <row r="208" spans="8:14">
      <c r="H208" s="213"/>
      <c r="I208" s="213"/>
      <c r="J208" s="213"/>
      <c r="K208" s="213"/>
      <c r="L208" s="213"/>
      <c r="M208" s="213"/>
      <c r="N208" s="213"/>
    </row>
    <row r="209" spans="6:14">
      <c r="H209" s="213"/>
      <c r="I209" s="213"/>
      <c r="J209" s="213"/>
      <c r="K209" s="213"/>
      <c r="L209" s="213"/>
      <c r="M209" s="213"/>
      <c r="N209" s="213"/>
    </row>
    <row r="210" spans="6:14">
      <c r="H210" s="213"/>
      <c r="I210" s="213"/>
      <c r="J210" s="213"/>
      <c r="K210" s="213"/>
      <c r="L210" s="213"/>
      <c r="M210" s="213"/>
      <c r="N210" s="213"/>
    </row>
    <row r="211" spans="6:14">
      <c r="H211" s="213"/>
      <c r="I211" s="213"/>
      <c r="J211" s="213"/>
      <c r="K211" s="213"/>
      <c r="L211" s="213"/>
      <c r="M211" s="213"/>
      <c r="N211" s="213"/>
    </row>
    <row r="212" spans="6:14">
      <c r="H212" s="213"/>
      <c r="I212" s="213"/>
      <c r="J212" s="213"/>
      <c r="K212" s="213"/>
      <c r="L212" s="213"/>
      <c r="M212" s="213"/>
      <c r="N212" s="213"/>
    </row>
    <row r="213" spans="6:14">
      <c r="H213" s="213"/>
      <c r="I213" s="213"/>
      <c r="J213" s="213"/>
      <c r="K213" s="213"/>
      <c r="L213" s="213"/>
      <c r="M213" s="213"/>
      <c r="N213" s="213"/>
    </row>
    <row r="214" spans="6:14">
      <c r="F214" s="216"/>
      <c r="H214" s="213"/>
      <c r="I214" s="213"/>
      <c r="J214" s="213"/>
      <c r="K214" s="213"/>
      <c r="L214" s="213"/>
      <c r="M214" s="213"/>
      <c r="N214" s="213"/>
    </row>
    <row r="215" spans="6:14">
      <c r="F215" s="216"/>
      <c r="H215" s="213"/>
      <c r="I215" s="213"/>
      <c r="J215" s="213"/>
      <c r="K215" s="213"/>
      <c r="L215" s="213"/>
      <c r="M215" s="213"/>
      <c r="N215" s="213"/>
    </row>
    <row r="216" spans="6:14">
      <c r="F216" s="216"/>
      <c r="H216" s="213"/>
      <c r="I216" s="213"/>
      <c r="J216" s="213"/>
      <c r="K216" s="213"/>
      <c r="L216" s="213"/>
      <c r="M216" s="213"/>
      <c r="N216" s="213"/>
    </row>
    <row r="217" spans="6:14">
      <c r="F217" s="216"/>
      <c r="H217" s="213"/>
      <c r="I217" s="213"/>
      <c r="J217" s="213"/>
      <c r="K217" s="213"/>
      <c r="L217" s="213"/>
      <c r="M217" s="213"/>
      <c r="N217" s="213"/>
    </row>
    <row r="218" spans="6:14">
      <c r="F218" s="216"/>
      <c r="H218" s="213"/>
      <c r="I218" s="213"/>
      <c r="J218" s="213"/>
      <c r="K218" s="213"/>
      <c r="L218" s="213"/>
      <c r="M218" s="213"/>
      <c r="N218" s="213"/>
    </row>
    <row r="219" spans="6:14">
      <c r="F219" s="216"/>
      <c r="H219" s="213"/>
      <c r="I219" s="213"/>
      <c r="J219" s="213"/>
      <c r="K219" s="213"/>
      <c r="L219" s="213"/>
      <c r="M219" s="213"/>
      <c r="N219" s="213"/>
    </row>
    <row r="220" spans="6:14">
      <c r="H220" s="213"/>
      <c r="I220" s="213"/>
      <c r="J220" s="213"/>
      <c r="K220" s="213"/>
      <c r="L220" s="213"/>
      <c r="M220" s="213"/>
      <c r="N220" s="213"/>
    </row>
    <row r="221" spans="6:14">
      <c r="H221" s="213"/>
      <c r="I221" s="213"/>
      <c r="J221" s="213"/>
      <c r="K221" s="213"/>
      <c r="L221" s="213"/>
      <c r="M221" s="213"/>
      <c r="N221" s="213"/>
    </row>
    <row r="222" spans="6:14">
      <c r="H222" s="213"/>
      <c r="I222" s="213"/>
      <c r="J222" s="213"/>
      <c r="K222" s="213"/>
      <c r="L222" s="213"/>
      <c r="M222" s="213"/>
      <c r="N222" s="213"/>
    </row>
    <row r="223" spans="6:14">
      <c r="H223" s="213"/>
      <c r="I223" s="213"/>
      <c r="J223" s="213"/>
      <c r="K223" s="213"/>
      <c r="L223" s="213"/>
      <c r="M223" s="213"/>
      <c r="N223" s="213"/>
    </row>
    <row r="224" spans="6:14">
      <c r="H224" s="213"/>
      <c r="I224" s="213"/>
      <c r="J224" s="213"/>
      <c r="K224" s="213"/>
      <c r="L224" s="213"/>
      <c r="M224" s="213"/>
      <c r="N224" s="213"/>
    </row>
    <row r="225" spans="8:14">
      <c r="H225" s="213"/>
      <c r="I225" s="213"/>
      <c r="J225" s="213"/>
      <c r="K225" s="213"/>
      <c r="L225" s="213"/>
      <c r="M225" s="213"/>
      <c r="N225" s="213"/>
    </row>
    <row r="226" spans="8:14">
      <c r="H226" s="213"/>
      <c r="I226" s="213"/>
      <c r="J226" s="213"/>
      <c r="K226" s="213"/>
      <c r="L226" s="213"/>
      <c r="M226" s="213"/>
      <c r="N226" s="213"/>
    </row>
    <row r="227" spans="8:14">
      <c r="H227" s="213"/>
      <c r="I227" s="213"/>
      <c r="J227" s="213"/>
      <c r="K227" s="213"/>
      <c r="L227" s="213"/>
      <c r="M227" s="213"/>
      <c r="N227" s="213"/>
    </row>
    <row r="228" spans="8:14">
      <c r="H228" s="213"/>
      <c r="I228" s="213"/>
      <c r="J228" s="213"/>
      <c r="K228" s="213"/>
      <c r="L228" s="213"/>
      <c r="M228" s="213"/>
      <c r="N228" s="213"/>
    </row>
    <row r="229" spans="8:14">
      <c r="H229" s="213"/>
      <c r="I229" s="213"/>
      <c r="J229" s="213"/>
      <c r="K229" s="213"/>
      <c r="L229" s="213"/>
      <c r="M229" s="213"/>
      <c r="N229" s="213"/>
    </row>
    <row r="230" spans="8:14">
      <c r="H230" s="213"/>
      <c r="I230" s="213"/>
      <c r="J230" s="213"/>
      <c r="K230" s="213"/>
      <c r="L230" s="213"/>
      <c r="M230" s="213"/>
      <c r="N230" s="213"/>
    </row>
    <row r="231" spans="8:14">
      <c r="H231" s="213"/>
      <c r="I231" s="213"/>
      <c r="J231" s="213"/>
      <c r="K231" s="213"/>
      <c r="L231" s="213"/>
      <c r="M231" s="213"/>
      <c r="N231" s="213"/>
    </row>
    <row r="232" spans="8:14">
      <c r="H232" s="213"/>
      <c r="I232" s="213"/>
      <c r="J232" s="213"/>
      <c r="K232" s="213"/>
      <c r="L232" s="213"/>
      <c r="M232" s="213"/>
      <c r="N232" s="213"/>
    </row>
    <row r="233" spans="8:14">
      <c r="H233" s="213"/>
      <c r="I233" s="213"/>
      <c r="J233" s="213"/>
      <c r="K233" s="213"/>
      <c r="L233" s="213"/>
      <c r="M233" s="213"/>
      <c r="N233" s="213"/>
    </row>
    <row r="234" spans="8:14">
      <c r="H234" s="213"/>
      <c r="I234" s="213"/>
      <c r="J234" s="213"/>
      <c r="K234" s="213"/>
      <c r="L234" s="213"/>
      <c r="M234" s="213"/>
      <c r="N234" s="213"/>
    </row>
    <row r="235" spans="8:14">
      <c r="H235" s="213"/>
      <c r="I235" s="213"/>
      <c r="J235" s="213"/>
      <c r="K235" s="213"/>
      <c r="L235" s="213"/>
      <c r="M235" s="213"/>
      <c r="N235" s="213"/>
    </row>
    <row r="236" spans="8:14">
      <c r="H236" s="213"/>
      <c r="I236" s="213"/>
      <c r="J236" s="213"/>
      <c r="K236" s="213"/>
      <c r="L236" s="213"/>
      <c r="M236" s="213"/>
      <c r="N236" s="213"/>
    </row>
    <row r="237" spans="8:14">
      <c r="H237" s="213"/>
      <c r="I237" s="213"/>
      <c r="J237" s="213"/>
      <c r="K237" s="213"/>
      <c r="L237" s="213"/>
      <c r="M237" s="213"/>
      <c r="N237" s="213"/>
    </row>
    <row r="238" spans="8:14">
      <c r="H238" s="213"/>
      <c r="I238" s="213"/>
      <c r="J238" s="213"/>
      <c r="K238" s="213"/>
      <c r="L238" s="213"/>
      <c r="M238" s="213"/>
      <c r="N238" s="213"/>
    </row>
    <row r="239" spans="8:14">
      <c r="H239" s="213"/>
      <c r="I239" s="213"/>
      <c r="J239" s="213"/>
      <c r="K239" s="213"/>
      <c r="L239" s="213"/>
      <c r="M239" s="213"/>
      <c r="N239" s="213"/>
    </row>
    <row r="240" spans="8:14">
      <c r="H240" s="213"/>
      <c r="I240" s="213"/>
      <c r="J240" s="213"/>
      <c r="K240" s="213"/>
      <c r="L240" s="213"/>
      <c r="M240" s="213"/>
      <c r="N240" s="213"/>
    </row>
    <row r="241" spans="8:14">
      <c r="H241" s="213"/>
      <c r="I241" s="213"/>
      <c r="J241" s="213"/>
      <c r="K241" s="213"/>
      <c r="L241" s="213"/>
      <c r="M241" s="213"/>
      <c r="N241" s="213"/>
    </row>
    <row r="242" spans="8:14">
      <c r="H242" s="213"/>
      <c r="I242" s="213"/>
      <c r="J242" s="213"/>
      <c r="K242" s="213"/>
      <c r="L242" s="213"/>
      <c r="M242" s="213"/>
      <c r="N242" s="213"/>
    </row>
    <row r="243" spans="8:14">
      <c r="H243" s="213"/>
      <c r="I243" s="213"/>
      <c r="J243" s="213"/>
      <c r="K243" s="213"/>
      <c r="L243" s="213"/>
      <c r="M243" s="213"/>
      <c r="N243" s="213"/>
    </row>
    <row r="244" spans="8:14">
      <c r="H244" s="213"/>
      <c r="I244" s="213"/>
      <c r="J244" s="213"/>
      <c r="K244" s="213"/>
      <c r="L244" s="213"/>
      <c r="M244" s="213"/>
      <c r="N244" s="213"/>
    </row>
    <row r="245" spans="8:14">
      <c r="H245" s="213"/>
      <c r="I245" s="213"/>
      <c r="J245" s="213"/>
      <c r="K245" s="213"/>
      <c r="L245" s="213"/>
      <c r="M245" s="213"/>
      <c r="N245" s="213"/>
    </row>
    <row r="246" spans="8:14">
      <c r="H246" s="213"/>
      <c r="I246" s="213"/>
      <c r="J246" s="213"/>
      <c r="K246" s="213"/>
      <c r="L246" s="213"/>
      <c r="M246" s="213"/>
      <c r="N246" s="213"/>
    </row>
    <row r="247" spans="8:14">
      <c r="H247" s="213"/>
      <c r="I247" s="213"/>
      <c r="J247" s="213"/>
      <c r="K247" s="213"/>
      <c r="L247" s="213"/>
      <c r="M247" s="213"/>
      <c r="N247" s="213"/>
    </row>
    <row r="248" spans="8:14">
      <c r="H248" s="213"/>
      <c r="I248" s="213"/>
      <c r="J248" s="213"/>
      <c r="K248" s="213"/>
      <c r="L248" s="213"/>
      <c r="M248" s="213"/>
      <c r="N248" s="213"/>
    </row>
    <row r="249" spans="8:14">
      <c r="H249" s="213"/>
      <c r="I249" s="213"/>
      <c r="J249" s="213"/>
      <c r="K249" s="213"/>
      <c r="L249" s="213"/>
      <c r="M249" s="213"/>
      <c r="N249" s="213"/>
    </row>
    <row r="250" spans="8:14">
      <c r="H250" s="213"/>
      <c r="I250" s="213"/>
      <c r="J250" s="213"/>
      <c r="K250" s="213"/>
      <c r="L250" s="213"/>
      <c r="M250" s="213"/>
      <c r="N250" s="213"/>
    </row>
    <row r="251" spans="8:14">
      <c r="H251" s="213"/>
      <c r="I251" s="213"/>
      <c r="J251" s="213"/>
      <c r="K251" s="213"/>
      <c r="L251" s="213"/>
      <c r="M251" s="213"/>
      <c r="N251" s="213"/>
    </row>
    <row r="252" spans="8:14">
      <c r="H252" s="213"/>
      <c r="I252" s="213"/>
      <c r="J252" s="213"/>
      <c r="K252" s="213"/>
      <c r="L252" s="213"/>
      <c r="M252" s="213"/>
      <c r="N252" s="213"/>
    </row>
    <row r="253" spans="8:14">
      <c r="H253" s="213"/>
      <c r="I253" s="213"/>
      <c r="J253" s="213"/>
      <c r="K253" s="213"/>
      <c r="L253" s="213"/>
      <c r="M253" s="213"/>
      <c r="N253" s="213"/>
    </row>
    <row r="254" spans="8:14">
      <c r="H254" s="213"/>
      <c r="I254" s="213"/>
      <c r="J254" s="213"/>
      <c r="K254" s="213"/>
      <c r="L254" s="213"/>
      <c r="M254" s="213"/>
      <c r="N254" s="213"/>
    </row>
    <row r="255" spans="8:14">
      <c r="H255" s="213"/>
      <c r="I255" s="213"/>
      <c r="J255" s="213"/>
      <c r="K255" s="213"/>
      <c r="L255" s="213"/>
      <c r="M255" s="213"/>
      <c r="N255" s="213"/>
    </row>
    <row r="256" spans="8:14">
      <c r="H256" s="213"/>
      <c r="I256" s="213"/>
      <c r="J256" s="213"/>
      <c r="K256" s="213"/>
      <c r="L256" s="213"/>
      <c r="M256" s="213"/>
      <c r="N256" s="213"/>
    </row>
    <row r="257" spans="8:14">
      <c r="H257" s="213"/>
      <c r="I257" s="213"/>
      <c r="J257" s="213"/>
      <c r="K257" s="213"/>
      <c r="L257" s="213"/>
      <c r="M257" s="213"/>
      <c r="N257" s="213"/>
    </row>
    <row r="258" spans="8:14">
      <c r="H258" s="213"/>
      <c r="I258" s="213"/>
      <c r="J258" s="213"/>
      <c r="K258" s="213"/>
      <c r="L258" s="213"/>
      <c r="M258" s="213"/>
      <c r="N258" s="213"/>
    </row>
    <row r="259" spans="8:14">
      <c r="H259" s="213"/>
      <c r="I259" s="213"/>
      <c r="J259" s="213"/>
      <c r="K259" s="213"/>
      <c r="L259" s="213"/>
      <c r="M259" s="213"/>
      <c r="N259" s="213"/>
    </row>
    <row r="260" spans="8:14">
      <c r="H260" s="213"/>
      <c r="I260" s="213"/>
      <c r="J260" s="213"/>
      <c r="K260" s="213"/>
      <c r="L260" s="213"/>
      <c r="M260" s="213"/>
      <c r="N260" s="213"/>
    </row>
    <row r="261" spans="8:14">
      <c r="H261" s="213"/>
      <c r="I261" s="213"/>
      <c r="J261" s="213"/>
      <c r="K261" s="213"/>
      <c r="L261" s="213"/>
      <c r="M261" s="213"/>
      <c r="N261" s="213"/>
    </row>
    <row r="262" spans="8:14">
      <c r="H262" s="213"/>
      <c r="I262" s="213"/>
      <c r="J262" s="213"/>
      <c r="K262" s="213"/>
      <c r="L262" s="213"/>
      <c r="M262" s="213"/>
      <c r="N262" s="213"/>
    </row>
    <row r="263" spans="8:14">
      <c r="H263" s="213"/>
      <c r="I263" s="213"/>
      <c r="J263" s="213"/>
      <c r="K263" s="213"/>
      <c r="L263" s="213"/>
      <c r="M263" s="213"/>
      <c r="N263" s="213"/>
    </row>
    <row r="264" spans="8:14">
      <c r="H264" s="213"/>
      <c r="I264" s="213"/>
      <c r="J264" s="213"/>
      <c r="K264" s="213"/>
      <c r="L264" s="213"/>
      <c r="M264" s="213"/>
      <c r="N264" s="213"/>
    </row>
    <row r="265" spans="8:14">
      <c r="H265" s="213"/>
      <c r="I265" s="213"/>
      <c r="J265" s="213"/>
      <c r="K265" s="213"/>
      <c r="L265" s="213"/>
      <c r="M265" s="213"/>
      <c r="N265" s="213"/>
    </row>
    <row r="266" spans="8:14">
      <c r="H266" s="213"/>
      <c r="I266" s="213"/>
      <c r="J266" s="213"/>
      <c r="K266" s="213"/>
      <c r="L266" s="213"/>
      <c r="M266" s="213"/>
      <c r="N266" s="213"/>
    </row>
    <row r="267" spans="8:14">
      <c r="H267" s="213"/>
      <c r="I267" s="213"/>
      <c r="J267" s="213"/>
      <c r="K267" s="213"/>
      <c r="L267" s="213"/>
      <c r="M267" s="213"/>
      <c r="N267" s="213"/>
    </row>
    <row r="268" spans="8:14">
      <c r="H268" s="213"/>
      <c r="I268" s="213"/>
      <c r="J268" s="213"/>
      <c r="K268" s="213"/>
      <c r="L268" s="213"/>
      <c r="M268" s="213"/>
      <c r="N268" s="213"/>
    </row>
    <row r="269" spans="8:14">
      <c r="H269" s="213"/>
      <c r="I269" s="213"/>
      <c r="J269" s="213"/>
      <c r="K269" s="213"/>
      <c r="L269" s="213"/>
      <c r="M269" s="213"/>
      <c r="N269" s="213"/>
    </row>
    <row r="270" spans="8:14">
      <c r="H270" s="213"/>
      <c r="I270" s="213"/>
      <c r="J270" s="213"/>
      <c r="K270" s="213"/>
      <c r="L270" s="213"/>
      <c r="M270" s="213"/>
      <c r="N270" s="213"/>
    </row>
    <row r="271" spans="8:14">
      <c r="H271" s="213"/>
      <c r="I271" s="213"/>
      <c r="J271" s="213"/>
      <c r="K271" s="213"/>
      <c r="L271" s="213"/>
      <c r="M271" s="213"/>
      <c r="N271" s="213"/>
    </row>
    <row r="272" spans="8:14">
      <c r="H272" s="213"/>
      <c r="I272" s="213"/>
      <c r="J272" s="213"/>
      <c r="K272" s="213"/>
      <c r="L272" s="213"/>
      <c r="M272" s="213"/>
      <c r="N272" s="213"/>
    </row>
    <row r="273" spans="8:14">
      <c r="H273" s="213"/>
      <c r="I273" s="213"/>
      <c r="J273" s="213"/>
      <c r="K273" s="213"/>
      <c r="L273" s="213"/>
      <c r="M273" s="213"/>
      <c r="N273" s="213"/>
    </row>
    <row r="274" spans="8:14">
      <c r="H274" s="213"/>
      <c r="I274" s="213"/>
      <c r="J274" s="213"/>
      <c r="K274" s="213"/>
      <c r="L274" s="213"/>
      <c r="M274" s="213"/>
      <c r="N274" s="213"/>
    </row>
    <row r="275" spans="8:14">
      <c r="H275" s="213"/>
      <c r="I275" s="213"/>
      <c r="J275" s="213"/>
      <c r="K275" s="213"/>
      <c r="L275" s="213"/>
      <c r="M275" s="213"/>
      <c r="N275" s="213"/>
    </row>
    <row r="276" spans="8:14">
      <c r="H276" s="213"/>
      <c r="I276" s="213"/>
      <c r="J276" s="213"/>
      <c r="K276" s="213"/>
      <c r="L276" s="213"/>
      <c r="M276" s="213"/>
      <c r="N276" s="213"/>
    </row>
    <row r="277" spans="8:14">
      <c r="H277" s="213"/>
      <c r="I277" s="213"/>
      <c r="J277" s="213"/>
      <c r="K277" s="213"/>
      <c r="L277" s="213"/>
      <c r="M277" s="213"/>
      <c r="N277" s="213"/>
    </row>
    <row r="278" spans="8:14">
      <c r="H278" s="213"/>
      <c r="I278" s="213"/>
      <c r="J278" s="213"/>
      <c r="K278" s="213"/>
      <c r="L278" s="213"/>
      <c r="M278" s="213"/>
      <c r="N278" s="213"/>
    </row>
    <row r="279" spans="8:14">
      <c r="H279" s="213"/>
      <c r="I279" s="213"/>
      <c r="J279" s="213"/>
      <c r="K279" s="213"/>
      <c r="L279" s="213"/>
      <c r="M279" s="213"/>
      <c r="N279" s="213"/>
    </row>
    <row r="280" spans="8:14">
      <c r="H280" s="213"/>
      <c r="I280" s="213"/>
      <c r="J280" s="213"/>
      <c r="K280" s="213"/>
      <c r="L280" s="213"/>
      <c r="M280" s="213"/>
      <c r="N280" s="213"/>
    </row>
    <row r="281" spans="8:14">
      <c r="H281" s="213"/>
      <c r="I281" s="213"/>
      <c r="J281" s="213"/>
      <c r="K281" s="213"/>
      <c r="L281" s="213"/>
      <c r="M281" s="213"/>
      <c r="N281" s="213"/>
    </row>
    <row r="282" spans="8:14">
      <c r="H282" s="213"/>
      <c r="I282" s="213"/>
      <c r="J282" s="213"/>
      <c r="K282" s="213"/>
      <c r="L282" s="213"/>
      <c r="M282" s="213"/>
      <c r="N282" s="213"/>
    </row>
    <row r="283" spans="8:14">
      <c r="H283" s="213"/>
      <c r="I283" s="213"/>
      <c r="J283" s="213"/>
      <c r="K283" s="213"/>
      <c r="L283" s="213"/>
      <c r="M283" s="213"/>
      <c r="N283" s="213"/>
    </row>
    <row r="284" spans="8:14">
      <c r="H284" s="213"/>
      <c r="I284" s="213"/>
      <c r="J284" s="213"/>
      <c r="K284" s="213"/>
      <c r="L284" s="213"/>
      <c r="M284" s="213"/>
      <c r="N284" s="213"/>
    </row>
    <row r="285" spans="8:14">
      <c r="H285" s="213"/>
      <c r="I285" s="213"/>
      <c r="J285" s="213"/>
      <c r="K285" s="213"/>
      <c r="L285" s="213"/>
      <c r="M285" s="213"/>
      <c r="N285" s="213"/>
    </row>
    <row r="286" spans="8:14">
      <c r="H286" s="213"/>
      <c r="I286" s="213"/>
      <c r="J286" s="213"/>
      <c r="K286" s="213"/>
      <c r="L286" s="213"/>
      <c r="M286" s="213"/>
      <c r="N286" s="213"/>
    </row>
    <row r="287" spans="8:14">
      <c r="H287" s="213"/>
      <c r="I287" s="213"/>
      <c r="J287" s="213"/>
      <c r="K287" s="213"/>
      <c r="L287" s="213"/>
      <c r="M287" s="213"/>
      <c r="N287" s="213"/>
    </row>
    <row r="288" spans="8:14">
      <c r="H288" s="213"/>
      <c r="I288" s="213"/>
      <c r="J288" s="213"/>
      <c r="K288" s="213"/>
      <c r="L288" s="213"/>
      <c r="M288" s="213"/>
      <c r="N288" s="213"/>
    </row>
    <row r="289" spans="8:14">
      <c r="H289" s="213"/>
      <c r="I289" s="213"/>
      <c r="J289" s="213"/>
      <c r="K289" s="213"/>
      <c r="L289" s="213"/>
      <c r="M289" s="213"/>
      <c r="N289" s="213"/>
    </row>
    <row r="290" spans="8:14">
      <c r="H290" s="213"/>
      <c r="I290" s="213"/>
      <c r="J290" s="213"/>
      <c r="K290" s="213"/>
      <c r="L290" s="213"/>
      <c r="M290" s="213"/>
      <c r="N290" s="213"/>
    </row>
    <row r="291" spans="8:14">
      <c r="H291" s="213"/>
      <c r="I291" s="213"/>
      <c r="J291" s="213"/>
      <c r="K291" s="213"/>
      <c r="L291" s="213"/>
      <c r="M291" s="213"/>
      <c r="N291" s="213"/>
    </row>
    <row r="292" spans="8:14">
      <c r="H292" s="213"/>
      <c r="I292" s="213"/>
      <c r="J292" s="213"/>
      <c r="K292" s="213"/>
      <c r="L292" s="213"/>
      <c r="M292" s="213"/>
      <c r="N292" s="213"/>
    </row>
    <row r="293" spans="8:14">
      <c r="H293" s="213"/>
      <c r="I293" s="213"/>
      <c r="J293" s="213"/>
      <c r="K293" s="213"/>
      <c r="L293" s="213"/>
      <c r="M293" s="213"/>
      <c r="N293" s="213"/>
    </row>
    <row r="294" spans="8:14">
      <c r="H294" s="213"/>
      <c r="I294" s="213"/>
      <c r="J294" s="213"/>
      <c r="K294" s="213"/>
      <c r="L294" s="213"/>
      <c r="M294" s="213"/>
      <c r="N294" s="213"/>
    </row>
    <row r="295" spans="8:14">
      <c r="H295" s="213"/>
      <c r="I295" s="213"/>
      <c r="J295" s="213"/>
      <c r="K295" s="213"/>
      <c r="L295" s="213"/>
      <c r="M295" s="213"/>
      <c r="N295" s="213"/>
    </row>
    <row r="296" spans="8:14">
      <c r="H296" s="213"/>
      <c r="I296" s="213"/>
      <c r="J296" s="213"/>
      <c r="K296" s="213"/>
      <c r="L296" s="213"/>
      <c r="M296" s="213"/>
      <c r="N296" s="213"/>
    </row>
    <row r="297" spans="8:14">
      <c r="H297" s="213"/>
      <c r="I297" s="213"/>
      <c r="J297" s="213"/>
      <c r="K297" s="213"/>
      <c r="L297" s="213"/>
      <c r="M297" s="213"/>
      <c r="N297" s="213"/>
    </row>
    <row r="298" spans="8:14">
      <c r="H298" s="213"/>
      <c r="I298" s="213"/>
      <c r="J298" s="213"/>
      <c r="K298" s="213"/>
      <c r="L298" s="213"/>
      <c r="M298" s="213"/>
      <c r="N298" s="213"/>
    </row>
    <row r="299" spans="8:14">
      <c r="H299" s="213"/>
      <c r="I299" s="213"/>
      <c r="J299" s="213"/>
      <c r="K299" s="213"/>
      <c r="L299" s="213"/>
      <c r="M299" s="213"/>
      <c r="N299" s="213"/>
    </row>
    <row r="300" spans="8:14">
      <c r="H300" s="213"/>
      <c r="I300" s="213"/>
      <c r="J300" s="213"/>
      <c r="K300" s="213"/>
      <c r="L300" s="213"/>
      <c r="M300" s="213"/>
      <c r="N300" s="213"/>
    </row>
    <row r="301" spans="8:14">
      <c r="H301" s="213"/>
      <c r="I301" s="213"/>
      <c r="J301" s="213"/>
      <c r="K301" s="213"/>
      <c r="L301" s="213"/>
      <c r="M301" s="213"/>
      <c r="N301" s="213"/>
    </row>
    <row r="302" spans="8:14">
      <c r="H302" s="213"/>
      <c r="I302" s="213"/>
      <c r="J302" s="213"/>
      <c r="K302" s="213"/>
      <c r="L302" s="213"/>
      <c r="M302" s="213"/>
      <c r="N302" s="213"/>
    </row>
    <row r="303" spans="8:14">
      <c r="H303" s="213"/>
      <c r="I303" s="213"/>
      <c r="J303" s="213"/>
      <c r="K303" s="213"/>
      <c r="L303" s="213"/>
      <c r="M303" s="213"/>
      <c r="N303" s="213"/>
    </row>
    <row r="304" spans="8:14">
      <c r="H304" s="213"/>
      <c r="I304" s="213"/>
      <c r="J304" s="213"/>
      <c r="K304" s="213"/>
      <c r="L304" s="213"/>
      <c r="M304" s="213"/>
      <c r="N304" s="213"/>
    </row>
    <row r="305" spans="8:14">
      <c r="H305" s="213"/>
      <c r="I305" s="213"/>
      <c r="J305" s="213"/>
      <c r="K305" s="213"/>
      <c r="L305" s="213"/>
      <c r="M305" s="213"/>
      <c r="N305" s="213"/>
    </row>
    <row r="306" spans="8:14">
      <c r="H306" s="213"/>
      <c r="I306" s="213"/>
      <c r="J306" s="213"/>
      <c r="K306" s="213"/>
      <c r="L306" s="213"/>
      <c r="M306" s="213"/>
      <c r="N306" s="213"/>
    </row>
    <row r="307" spans="8:14">
      <c r="H307" s="213"/>
      <c r="I307" s="213"/>
      <c r="J307" s="213"/>
      <c r="K307" s="213"/>
      <c r="L307" s="213"/>
      <c r="M307" s="213"/>
      <c r="N307" s="213"/>
    </row>
    <row r="308" spans="8:14">
      <c r="H308" s="213"/>
      <c r="I308" s="213"/>
      <c r="J308" s="213"/>
      <c r="K308" s="213"/>
      <c r="L308" s="213"/>
      <c r="M308" s="213"/>
      <c r="N308" s="213"/>
    </row>
    <row r="309" spans="8:14">
      <c r="H309" s="213"/>
      <c r="I309" s="213"/>
      <c r="J309" s="213"/>
      <c r="K309" s="213"/>
      <c r="L309" s="213"/>
      <c r="M309" s="213"/>
      <c r="N309" s="213"/>
    </row>
    <row r="310" spans="8:14">
      <c r="H310" s="213"/>
      <c r="I310" s="213"/>
      <c r="J310" s="213"/>
      <c r="K310" s="213"/>
      <c r="L310" s="213"/>
      <c r="M310" s="213"/>
      <c r="N310" s="213"/>
    </row>
    <row r="311" spans="8:14">
      <c r="H311" s="213"/>
      <c r="I311" s="213"/>
      <c r="J311" s="213"/>
      <c r="K311" s="213"/>
      <c r="L311" s="213"/>
      <c r="M311" s="213"/>
      <c r="N311" s="213"/>
    </row>
    <row r="312" spans="8:14">
      <c r="H312" s="213"/>
      <c r="I312" s="213"/>
      <c r="J312" s="213"/>
      <c r="K312" s="213"/>
      <c r="L312" s="213"/>
      <c r="M312" s="213"/>
      <c r="N312" s="213"/>
    </row>
    <row r="313" spans="8:14">
      <c r="H313" s="213"/>
      <c r="I313" s="213"/>
      <c r="J313" s="213"/>
      <c r="K313" s="213"/>
      <c r="L313" s="213"/>
      <c r="M313" s="213"/>
      <c r="N313" s="213"/>
    </row>
    <row r="314" spans="8:14">
      <c r="H314" s="213"/>
      <c r="I314" s="213"/>
      <c r="J314" s="213"/>
      <c r="K314" s="213"/>
      <c r="L314" s="213"/>
      <c r="M314" s="213"/>
      <c r="N314" s="213"/>
    </row>
    <row r="315" spans="8:14">
      <c r="H315" s="217"/>
      <c r="I315" s="217"/>
      <c r="J315" s="217"/>
      <c r="K315" s="217"/>
      <c r="L315" s="217"/>
      <c r="M315" s="217"/>
      <c r="N315" s="217"/>
    </row>
    <row r="316" spans="8:14">
      <c r="H316" s="217"/>
      <c r="I316" s="217"/>
      <c r="J316" s="217"/>
      <c r="K316" s="217"/>
      <c r="L316" s="217"/>
      <c r="M316" s="217"/>
      <c r="N316" s="217"/>
    </row>
    <row r="317" spans="8:14">
      <c r="H317" s="217"/>
      <c r="I317" s="217"/>
      <c r="J317" s="217"/>
      <c r="K317" s="217"/>
      <c r="L317" s="217"/>
      <c r="M317" s="217"/>
      <c r="N317" s="217"/>
    </row>
    <row r="318" spans="8:14">
      <c r="H318" s="217"/>
      <c r="I318" s="217"/>
      <c r="J318" s="217"/>
      <c r="K318" s="217"/>
      <c r="L318" s="217"/>
      <c r="M318" s="217"/>
      <c r="N318" s="217"/>
    </row>
    <row r="319" spans="8:14">
      <c r="H319" s="217"/>
      <c r="I319" s="217"/>
      <c r="J319" s="217"/>
      <c r="K319" s="217"/>
      <c r="L319" s="217"/>
      <c r="M319" s="217"/>
      <c r="N319" s="217"/>
    </row>
    <row r="320" spans="8:14">
      <c r="H320" s="217"/>
      <c r="I320" s="217"/>
      <c r="J320" s="217"/>
      <c r="K320" s="217"/>
      <c r="L320" s="217"/>
      <c r="M320" s="217"/>
      <c r="N320" s="217"/>
    </row>
    <row r="321" spans="6:14">
      <c r="H321" s="217"/>
      <c r="I321" s="217"/>
      <c r="J321" s="217"/>
      <c r="K321" s="217"/>
      <c r="L321" s="217"/>
      <c r="M321" s="217"/>
      <c r="N321" s="217"/>
    </row>
    <row r="322" spans="6:14">
      <c r="H322" s="217"/>
      <c r="I322" s="217"/>
      <c r="J322" s="217"/>
      <c r="K322" s="217"/>
      <c r="L322" s="217"/>
      <c r="M322" s="217"/>
      <c r="N322" s="217"/>
    </row>
    <row r="323" spans="6:14">
      <c r="F323" s="217"/>
      <c r="H323" s="217"/>
      <c r="I323" s="217"/>
      <c r="J323" s="217"/>
      <c r="K323" s="217"/>
      <c r="L323" s="217"/>
      <c r="M323" s="217"/>
      <c r="N323" s="217"/>
    </row>
    <row r="324" spans="6:14">
      <c r="F324" s="217"/>
      <c r="H324" s="217"/>
      <c r="I324" s="217"/>
      <c r="J324" s="217"/>
      <c r="K324" s="217"/>
      <c r="L324" s="217"/>
      <c r="M324" s="217"/>
      <c r="N324" s="217"/>
    </row>
    <row r="325" spans="6:14">
      <c r="F325" s="217"/>
      <c r="H325" s="217"/>
      <c r="I325" s="217"/>
      <c r="J325" s="217"/>
      <c r="K325" s="217"/>
      <c r="L325" s="217"/>
      <c r="M325" s="217"/>
      <c r="N325" s="217"/>
    </row>
    <row r="326" spans="6:14">
      <c r="F326" s="217"/>
      <c r="H326" s="217"/>
      <c r="I326" s="217"/>
      <c r="J326" s="217"/>
      <c r="K326" s="217"/>
      <c r="L326" s="217"/>
      <c r="M326" s="217"/>
      <c r="N326" s="217"/>
    </row>
    <row r="327" spans="6:14">
      <c r="F327" s="217"/>
      <c r="H327" s="217"/>
      <c r="I327" s="217"/>
      <c r="J327" s="217"/>
      <c r="K327" s="217"/>
      <c r="L327" s="217"/>
      <c r="M327" s="217"/>
      <c r="N327" s="217"/>
    </row>
    <row r="328" spans="6:14">
      <c r="F328" s="217"/>
      <c r="H328" s="217"/>
      <c r="I328" s="217"/>
      <c r="J328" s="217"/>
      <c r="K328" s="217"/>
      <c r="L328" s="217"/>
      <c r="M328" s="217"/>
      <c r="N328" s="217"/>
    </row>
    <row r="329" spans="6:14">
      <c r="F329" s="217"/>
      <c r="H329" s="217"/>
      <c r="I329" s="217"/>
      <c r="J329" s="217"/>
      <c r="K329" s="217"/>
      <c r="L329" s="217"/>
      <c r="M329" s="217"/>
      <c r="N329" s="217"/>
    </row>
    <row r="330" spans="6:14">
      <c r="F330" s="217"/>
      <c r="H330" s="217"/>
      <c r="I330" s="217"/>
      <c r="J330" s="217"/>
      <c r="K330" s="217"/>
      <c r="L330" s="217"/>
      <c r="M330" s="217"/>
      <c r="N330" s="217"/>
    </row>
    <row r="331" spans="6:14">
      <c r="H331" s="217"/>
      <c r="I331" s="217"/>
      <c r="J331" s="217"/>
      <c r="K331" s="217"/>
      <c r="L331" s="217"/>
      <c r="M331" s="217"/>
      <c r="N331" s="217"/>
    </row>
    <row r="332" spans="6:14">
      <c r="H332" s="217"/>
      <c r="I332" s="217"/>
      <c r="J332" s="217"/>
      <c r="K332" s="217"/>
      <c r="L332" s="217"/>
      <c r="M332" s="217"/>
      <c r="N332" s="217"/>
    </row>
    <row r="333" spans="6:14">
      <c r="H333" s="217"/>
      <c r="I333" s="217"/>
      <c r="J333" s="217"/>
      <c r="K333" s="217"/>
      <c r="L333" s="217"/>
      <c r="M333" s="217"/>
      <c r="N333" s="217"/>
    </row>
    <row r="334" spans="6:14">
      <c r="H334" s="217"/>
      <c r="I334" s="217"/>
      <c r="J334" s="217"/>
      <c r="K334" s="217"/>
      <c r="L334" s="217"/>
      <c r="M334" s="217"/>
      <c r="N334" s="217"/>
    </row>
    <row r="335" spans="6:14">
      <c r="H335" s="217"/>
      <c r="I335" s="217"/>
      <c r="J335" s="217"/>
      <c r="K335" s="217"/>
      <c r="L335" s="217"/>
      <c r="M335" s="217"/>
      <c r="N335" s="217"/>
    </row>
    <row r="336" spans="6:14">
      <c r="H336" s="217"/>
      <c r="I336" s="217"/>
      <c r="J336" s="217"/>
      <c r="K336" s="217"/>
      <c r="L336" s="217"/>
      <c r="M336" s="217"/>
      <c r="N336" s="217"/>
    </row>
    <row r="337" spans="8:14">
      <c r="H337" s="217"/>
      <c r="I337" s="217"/>
      <c r="J337" s="217"/>
      <c r="K337" s="217"/>
      <c r="L337" s="217"/>
      <c r="M337" s="217"/>
      <c r="N337" s="217"/>
    </row>
    <row r="338" spans="8:14">
      <c r="H338" s="217"/>
      <c r="I338" s="217"/>
      <c r="J338" s="217"/>
      <c r="K338" s="217"/>
      <c r="L338" s="217"/>
      <c r="M338" s="217"/>
      <c r="N338" s="217"/>
    </row>
    <row r="339" spans="8:14">
      <c r="H339" s="217"/>
      <c r="I339" s="217"/>
      <c r="J339" s="217"/>
      <c r="K339" s="217"/>
      <c r="L339" s="217"/>
      <c r="M339" s="217"/>
      <c r="N339" s="217"/>
    </row>
    <row r="340" spans="8:14">
      <c r="H340" s="217"/>
      <c r="I340" s="217"/>
      <c r="J340" s="217"/>
      <c r="K340" s="217"/>
      <c r="L340" s="217"/>
      <c r="M340" s="217"/>
      <c r="N340" s="217"/>
    </row>
    <row r="341" spans="8:14">
      <c r="H341" s="217"/>
      <c r="I341" s="217"/>
      <c r="J341" s="217"/>
      <c r="K341" s="217"/>
      <c r="L341" s="217"/>
      <c r="M341" s="217"/>
      <c r="N341" s="217"/>
    </row>
    <row r="342" spans="8:14">
      <c r="H342" s="217"/>
      <c r="I342" s="217"/>
      <c r="J342" s="217"/>
      <c r="K342" s="217"/>
      <c r="L342" s="217"/>
      <c r="M342" s="217"/>
      <c r="N342" s="217"/>
    </row>
    <row r="343" spans="8:14">
      <c r="H343" s="217"/>
      <c r="I343" s="217"/>
      <c r="J343" s="217"/>
      <c r="K343" s="217"/>
      <c r="L343" s="217"/>
      <c r="M343" s="217"/>
      <c r="N343" s="217"/>
    </row>
    <row r="344" spans="8:14">
      <c r="H344" s="217"/>
      <c r="I344" s="217"/>
      <c r="J344" s="217"/>
      <c r="K344" s="217"/>
      <c r="L344" s="217"/>
      <c r="M344" s="217"/>
      <c r="N344" s="217"/>
    </row>
    <row r="345" spans="8:14">
      <c r="H345" s="217"/>
      <c r="I345" s="217"/>
      <c r="J345" s="217"/>
      <c r="K345" s="217"/>
      <c r="L345" s="217"/>
      <c r="M345" s="217"/>
      <c r="N345" s="217"/>
    </row>
    <row r="346" spans="8:14">
      <c r="H346" s="217"/>
      <c r="I346" s="217"/>
      <c r="J346" s="217"/>
      <c r="K346" s="217"/>
      <c r="L346" s="217"/>
      <c r="M346" s="217"/>
      <c r="N346" s="217"/>
    </row>
    <row r="347" spans="8:14">
      <c r="H347" s="217"/>
      <c r="I347" s="217"/>
      <c r="J347" s="217"/>
      <c r="K347" s="217"/>
      <c r="L347" s="217"/>
      <c r="M347" s="217"/>
      <c r="N347" s="217"/>
    </row>
    <row r="348" spans="8:14">
      <c r="H348" s="217"/>
      <c r="I348" s="217"/>
      <c r="J348" s="217"/>
      <c r="K348" s="217"/>
      <c r="L348" s="217"/>
      <c r="M348" s="217"/>
      <c r="N348" s="217"/>
    </row>
    <row r="349" spans="8:14">
      <c r="H349" s="217"/>
      <c r="I349" s="217"/>
      <c r="J349" s="217"/>
      <c r="K349" s="217"/>
      <c r="L349" s="217"/>
      <c r="M349" s="217"/>
      <c r="N349" s="217"/>
    </row>
    <row r="350" spans="8:14">
      <c r="H350" s="217"/>
      <c r="I350" s="217"/>
      <c r="J350" s="217"/>
      <c r="K350" s="217"/>
      <c r="L350" s="217"/>
      <c r="M350" s="217"/>
      <c r="N350" s="217"/>
    </row>
    <row r="351" spans="8:14">
      <c r="H351" s="217"/>
      <c r="I351" s="217"/>
      <c r="J351" s="217"/>
      <c r="K351" s="217"/>
      <c r="L351" s="217"/>
      <c r="M351" s="217"/>
      <c r="N351" s="217"/>
    </row>
    <row r="352" spans="8:14">
      <c r="H352" s="217"/>
      <c r="I352" s="217"/>
      <c r="J352" s="217"/>
      <c r="K352" s="217"/>
      <c r="L352" s="217"/>
      <c r="M352" s="217"/>
      <c r="N352" s="217"/>
    </row>
    <row r="353" spans="8:14">
      <c r="H353" s="217"/>
      <c r="I353" s="217"/>
      <c r="J353" s="217"/>
      <c r="K353" s="217"/>
      <c r="L353" s="217"/>
      <c r="M353" s="217"/>
      <c r="N353" s="217"/>
    </row>
    <row r="354" spans="8:14">
      <c r="H354" s="217"/>
      <c r="I354" s="217"/>
      <c r="J354" s="217"/>
      <c r="K354" s="217"/>
      <c r="L354" s="217"/>
      <c r="M354" s="217"/>
      <c r="N354" s="217"/>
    </row>
    <row r="355" spans="8:14">
      <c r="H355" s="217"/>
      <c r="I355" s="217"/>
      <c r="J355" s="217"/>
      <c r="K355" s="217"/>
      <c r="L355" s="217"/>
      <c r="M355" s="217"/>
      <c r="N355" s="217"/>
    </row>
    <row r="356" spans="8:14">
      <c r="H356" s="217"/>
      <c r="I356" s="217"/>
      <c r="J356" s="217"/>
      <c r="K356" s="217"/>
      <c r="L356" s="217"/>
      <c r="M356" s="217"/>
      <c r="N356" s="217"/>
    </row>
    <row r="357" spans="8:14">
      <c r="H357" s="217"/>
      <c r="I357" s="217"/>
      <c r="J357" s="217"/>
      <c r="K357" s="217"/>
      <c r="L357" s="217"/>
      <c r="M357" s="217"/>
      <c r="N357" s="217"/>
    </row>
    <row r="358" spans="8:14">
      <c r="H358" s="217"/>
      <c r="I358" s="217"/>
      <c r="J358" s="217"/>
      <c r="K358" s="217"/>
      <c r="L358" s="217"/>
      <c r="M358" s="217"/>
      <c r="N358" s="217"/>
    </row>
    <row r="359" spans="8:14">
      <c r="H359" s="217"/>
      <c r="I359" s="217"/>
      <c r="J359" s="217"/>
      <c r="K359" s="217"/>
      <c r="L359" s="217"/>
      <c r="M359" s="217"/>
      <c r="N359" s="217"/>
    </row>
    <row r="360" spans="8:14">
      <c r="H360" s="217"/>
      <c r="I360" s="217"/>
      <c r="J360" s="217"/>
      <c r="K360" s="217"/>
      <c r="L360" s="217"/>
      <c r="M360" s="217"/>
      <c r="N360" s="217"/>
    </row>
    <row r="361" spans="8:14">
      <c r="H361" s="217"/>
      <c r="I361" s="217"/>
      <c r="J361" s="217"/>
      <c r="K361" s="217"/>
      <c r="L361" s="217"/>
      <c r="M361" s="217"/>
      <c r="N361" s="217"/>
    </row>
    <row r="362" spans="8:14">
      <c r="H362" s="217"/>
      <c r="I362" s="217"/>
      <c r="J362" s="217"/>
      <c r="K362" s="217"/>
      <c r="L362" s="217"/>
      <c r="M362" s="217"/>
      <c r="N362" s="217"/>
    </row>
    <row r="363" spans="8:14">
      <c r="H363" s="217"/>
      <c r="I363" s="217"/>
      <c r="J363" s="217"/>
      <c r="K363" s="217"/>
      <c r="L363" s="217"/>
      <c r="M363" s="217"/>
      <c r="N363" s="217"/>
    </row>
    <row r="364" spans="8:14">
      <c r="H364" s="217"/>
      <c r="I364" s="217"/>
      <c r="J364" s="217"/>
      <c r="K364" s="217"/>
      <c r="L364" s="217"/>
      <c r="M364" s="217"/>
      <c r="N364" s="217"/>
    </row>
    <row r="365" spans="8:14">
      <c r="H365" s="217"/>
      <c r="I365" s="217"/>
      <c r="J365" s="217"/>
      <c r="K365" s="217"/>
      <c r="L365" s="217"/>
      <c r="M365" s="217"/>
      <c r="N365" s="217"/>
    </row>
    <row r="366" spans="8:14">
      <c r="H366" s="217"/>
      <c r="I366" s="217"/>
      <c r="J366" s="217"/>
      <c r="K366" s="217"/>
      <c r="L366" s="217"/>
      <c r="M366" s="217"/>
      <c r="N366" s="217"/>
    </row>
    <row r="367" spans="8:14">
      <c r="H367" s="217"/>
      <c r="I367" s="217"/>
      <c r="J367" s="217"/>
      <c r="K367" s="217"/>
      <c r="L367" s="217"/>
      <c r="M367" s="217"/>
      <c r="N367" s="217"/>
    </row>
    <row r="368" spans="8:14">
      <c r="H368" s="217"/>
      <c r="I368" s="217"/>
      <c r="J368" s="217"/>
      <c r="K368" s="217"/>
      <c r="L368" s="217"/>
      <c r="M368" s="217"/>
      <c r="N368" s="217"/>
    </row>
    <row r="369" spans="8:14">
      <c r="H369" s="217"/>
      <c r="I369" s="217"/>
      <c r="J369" s="217"/>
      <c r="K369" s="217"/>
      <c r="L369" s="217"/>
      <c r="M369" s="217"/>
      <c r="N369" s="217"/>
    </row>
    <row r="370" spans="8:14">
      <c r="H370" s="217"/>
      <c r="I370" s="217"/>
      <c r="J370" s="217"/>
      <c r="K370" s="217"/>
      <c r="L370" s="217"/>
      <c r="M370" s="217"/>
      <c r="N370" s="217"/>
    </row>
    <row r="371" spans="8:14">
      <c r="H371" s="217"/>
      <c r="I371" s="217"/>
      <c r="J371" s="217"/>
      <c r="K371" s="217"/>
      <c r="L371" s="217"/>
      <c r="M371" s="217"/>
      <c r="N371" s="217"/>
    </row>
    <row r="372" spans="8:14">
      <c r="H372" s="217"/>
      <c r="I372" s="217"/>
      <c r="J372" s="217"/>
      <c r="K372" s="217"/>
      <c r="L372" s="217"/>
      <c r="M372" s="217"/>
      <c r="N372" s="217"/>
    </row>
    <row r="373" spans="8:14">
      <c r="H373" s="217"/>
      <c r="I373" s="217"/>
      <c r="J373" s="217"/>
      <c r="K373" s="217"/>
      <c r="L373" s="217"/>
      <c r="M373" s="217"/>
      <c r="N373" s="217"/>
    </row>
    <row r="374" spans="8:14">
      <c r="H374" s="217"/>
      <c r="I374" s="217"/>
      <c r="J374" s="217"/>
      <c r="K374" s="217"/>
      <c r="L374" s="217"/>
      <c r="M374" s="217"/>
      <c r="N374" s="217"/>
    </row>
    <row r="375" spans="8:14">
      <c r="H375" s="217"/>
      <c r="I375" s="217"/>
      <c r="J375" s="217"/>
      <c r="K375" s="217"/>
      <c r="L375" s="217"/>
      <c r="M375" s="217"/>
      <c r="N375" s="217"/>
    </row>
    <row r="376" spans="8:14">
      <c r="H376" s="217"/>
      <c r="I376" s="217"/>
      <c r="J376" s="217"/>
      <c r="K376" s="217"/>
      <c r="L376" s="217"/>
      <c r="M376" s="217"/>
      <c r="N376" s="217"/>
    </row>
    <row r="377" spans="8:14">
      <c r="H377" s="217"/>
      <c r="I377" s="217"/>
      <c r="J377" s="217"/>
      <c r="K377" s="217"/>
      <c r="L377" s="217"/>
      <c r="M377" s="217"/>
      <c r="N377" s="217"/>
    </row>
    <row r="378" spans="8:14">
      <c r="H378" s="217"/>
      <c r="I378" s="217"/>
      <c r="J378" s="217"/>
      <c r="K378" s="217"/>
      <c r="L378" s="217"/>
      <c r="M378" s="217"/>
      <c r="N378" s="217"/>
    </row>
    <row r="379" spans="8:14">
      <c r="H379" s="217"/>
      <c r="I379" s="217"/>
      <c r="J379" s="217"/>
      <c r="K379" s="217"/>
      <c r="L379" s="217"/>
      <c r="M379" s="217"/>
      <c r="N379" s="217"/>
    </row>
    <row r="380" spans="8:14">
      <c r="H380" s="217"/>
      <c r="I380" s="217"/>
      <c r="J380" s="217"/>
      <c r="K380" s="217"/>
      <c r="L380" s="217"/>
      <c r="M380" s="217"/>
      <c r="N380" s="217"/>
    </row>
    <row r="381" spans="8:14">
      <c r="H381" s="217"/>
      <c r="I381" s="217"/>
      <c r="J381" s="217"/>
      <c r="K381" s="217"/>
      <c r="L381" s="217"/>
      <c r="M381" s="217"/>
      <c r="N381" s="217"/>
    </row>
    <row r="382" spans="8:14">
      <c r="H382" s="217"/>
      <c r="I382" s="217"/>
      <c r="J382" s="217"/>
      <c r="K382" s="217"/>
      <c r="L382" s="217"/>
      <c r="M382" s="217"/>
      <c r="N382" s="217"/>
    </row>
    <row r="383" spans="8:14">
      <c r="H383" s="217"/>
      <c r="I383" s="217"/>
      <c r="J383" s="217"/>
      <c r="K383" s="217"/>
      <c r="L383" s="217"/>
      <c r="M383" s="217"/>
      <c r="N383" s="217"/>
    </row>
    <row r="384" spans="8:14">
      <c r="H384" s="217"/>
      <c r="I384" s="217"/>
      <c r="J384" s="217"/>
      <c r="K384" s="217"/>
      <c r="L384" s="217"/>
      <c r="M384" s="217"/>
      <c r="N384" s="217"/>
    </row>
    <row r="385" spans="8:14">
      <c r="H385" s="217"/>
      <c r="I385" s="217"/>
      <c r="J385" s="217"/>
      <c r="K385" s="217"/>
      <c r="L385" s="217"/>
      <c r="M385" s="217"/>
      <c r="N385" s="217"/>
    </row>
    <row r="386" spans="8:14">
      <c r="H386" s="217"/>
      <c r="I386" s="217"/>
      <c r="J386" s="217"/>
      <c r="K386" s="217"/>
      <c r="L386" s="217"/>
      <c r="M386" s="217"/>
      <c r="N386" s="217"/>
    </row>
    <row r="387" spans="8:14">
      <c r="H387" s="217"/>
      <c r="I387" s="217"/>
      <c r="J387" s="217"/>
      <c r="K387" s="217"/>
      <c r="L387" s="217"/>
      <c r="M387" s="217"/>
      <c r="N387" s="217"/>
    </row>
    <row r="388" spans="8:14">
      <c r="H388" s="217"/>
      <c r="I388" s="217"/>
      <c r="J388" s="217"/>
      <c r="K388" s="217"/>
      <c r="L388" s="217"/>
      <c r="M388" s="217"/>
      <c r="N388" s="217"/>
    </row>
    <row r="389" spans="8:14">
      <c r="H389" s="217"/>
      <c r="I389" s="217"/>
      <c r="J389" s="217"/>
      <c r="K389" s="217"/>
      <c r="L389" s="217"/>
      <c r="M389" s="217"/>
      <c r="N389" s="217"/>
    </row>
    <row r="390" spans="8:14">
      <c r="H390" s="217"/>
      <c r="I390" s="217"/>
      <c r="J390" s="217"/>
      <c r="K390" s="217"/>
      <c r="L390" s="217"/>
      <c r="M390" s="217"/>
      <c r="N390" s="217"/>
    </row>
    <row r="391" spans="8:14">
      <c r="H391" s="217"/>
      <c r="I391" s="217"/>
      <c r="J391" s="217"/>
      <c r="K391" s="217"/>
      <c r="L391" s="217"/>
      <c r="M391" s="217"/>
      <c r="N391" s="217"/>
    </row>
    <row r="392" spans="8:14">
      <c r="H392" s="217"/>
      <c r="I392" s="217"/>
      <c r="J392" s="217"/>
      <c r="K392" s="217"/>
      <c r="L392" s="217"/>
      <c r="M392" s="217"/>
      <c r="N392" s="217"/>
    </row>
    <row r="393" spans="8:14">
      <c r="H393" s="217"/>
      <c r="I393" s="217"/>
      <c r="J393" s="217"/>
      <c r="K393" s="217"/>
      <c r="L393" s="217"/>
      <c r="M393" s="217"/>
      <c r="N393" s="217"/>
    </row>
    <row r="394" spans="8:14">
      <c r="H394" s="217"/>
      <c r="I394" s="217"/>
      <c r="J394" s="217"/>
      <c r="K394" s="217"/>
      <c r="L394" s="217"/>
      <c r="M394" s="217"/>
      <c r="N394" s="217"/>
    </row>
    <row r="395" spans="8:14">
      <c r="H395" s="217"/>
      <c r="I395" s="217"/>
      <c r="J395" s="217"/>
      <c r="K395" s="217"/>
      <c r="L395" s="217"/>
      <c r="M395" s="217"/>
      <c r="N395" s="217"/>
    </row>
    <row r="396" spans="8:14">
      <c r="H396" s="217"/>
      <c r="I396" s="217"/>
      <c r="J396" s="217"/>
      <c r="K396" s="217"/>
      <c r="L396" s="217"/>
      <c r="M396" s="217"/>
      <c r="N396" s="217"/>
    </row>
    <row r="397" spans="8:14">
      <c r="H397" s="217"/>
      <c r="I397" s="217"/>
      <c r="J397" s="217"/>
      <c r="K397" s="217"/>
      <c r="L397" s="217"/>
      <c r="M397" s="217"/>
      <c r="N397" s="217"/>
    </row>
    <row r="398" spans="8:14">
      <c r="H398" s="217"/>
      <c r="I398" s="217"/>
      <c r="J398" s="217"/>
      <c r="K398" s="217"/>
      <c r="L398" s="217"/>
      <c r="M398" s="217"/>
      <c r="N398" s="217"/>
    </row>
    <row r="399" spans="8:14">
      <c r="H399" s="217"/>
      <c r="I399" s="217"/>
      <c r="J399" s="217"/>
      <c r="K399" s="217"/>
      <c r="L399" s="217"/>
      <c r="M399" s="217"/>
      <c r="N399" s="217"/>
    </row>
    <row r="400" spans="8:14">
      <c r="H400" s="217"/>
      <c r="I400" s="217"/>
      <c r="J400" s="217"/>
      <c r="K400" s="217"/>
      <c r="L400" s="217"/>
      <c r="M400" s="217"/>
      <c r="N400" s="217"/>
    </row>
    <row r="401" spans="8:14">
      <c r="H401" s="217"/>
      <c r="I401" s="217"/>
      <c r="J401" s="217"/>
      <c r="K401" s="217"/>
      <c r="L401" s="217"/>
      <c r="M401" s="217"/>
      <c r="N401" s="217"/>
    </row>
    <row r="402" spans="8:14">
      <c r="H402" s="217"/>
      <c r="I402" s="217"/>
      <c r="J402" s="217"/>
      <c r="K402" s="217"/>
      <c r="L402" s="217"/>
      <c r="M402" s="217"/>
      <c r="N402" s="217"/>
    </row>
    <row r="403" spans="8:14">
      <c r="H403" s="217"/>
      <c r="I403" s="217"/>
      <c r="J403" s="217"/>
      <c r="K403" s="217"/>
      <c r="L403" s="217"/>
      <c r="M403" s="217"/>
      <c r="N403" s="217"/>
    </row>
    <row r="404" spans="8:14">
      <c r="H404" s="217"/>
      <c r="I404" s="217"/>
      <c r="J404" s="217"/>
      <c r="K404" s="217"/>
      <c r="L404" s="217"/>
      <c r="M404" s="217"/>
      <c r="N404" s="217"/>
    </row>
    <row r="405" spans="8:14">
      <c r="H405" s="217"/>
      <c r="I405" s="217"/>
      <c r="J405" s="217"/>
      <c r="K405" s="217"/>
      <c r="L405" s="217"/>
      <c r="M405" s="217"/>
      <c r="N405" s="217"/>
    </row>
    <row r="406" spans="8:14">
      <c r="H406" s="217"/>
      <c r="I406" s="217"/>
      <c r="J406" s="217"/>
      <c r="K406" s="217"/>
      <c r="L406" s="217"/>
      <c r="M406" s="217"/>
      <c r="N406" s="217"/>
    </row>
    <row r="407" spans="8:14">
      <c r="H407" s="217"/>
      <c r="I407" s="217"/>
      <c r="J407" s="217"/>
      <c r="K407" s="217"/>
      <c r="L407" s="217"/>
      <c r="M407" s="217"/>
      <c r="N407" s="217"/>
    </row>
    <row r="408" spans="8:14">
      <c r="H408" s="217"/>
      <c r="I408" s="217"/>
      <c r="J408" s="217"/>
      <c r="K408" s="217"/>
      <c r="L408" s="217"/>
      <c r="M408" s="217"/>
      <c r="N408" s="217"/>
    </row>
    <row r="409" spans="8:14">
      <c r="H409" s="217"/>
      <c r="I409" s="217"/>
      <c r="J409" s="217"/>
      <c r="K409" s="217"/>
      <c r="L409" s="217"/>
      <c r="M409" s="217"/>
      <c r="N409" s="217"/>
    </row>
    <row r="410" spans="8:14">
      <c r="H410" s="217"/>
      <c r="I410" s="217"/>
      <c r="J410" s="217"/>
      <c r="K410" s="217"/>
      <c r="L410" s="217"/>
      <c r="M410" s="217"/>
      <c r="N410" s="217"/>
    </row>
    <row r="411" spans="8:14">
      <c r="H411" s="217"/>
      <c r="I411" s="217"/>
      <c r="J411" s="217"/>
      <c r="K411" s="217"/>
      <c r="L411" s="217"/>
      <c r="M411" s="217"/>
      <c r="N411" s="217"/>
    </row>
    <row r="412" spans="8:14">
      <c r="H412" s="217"/>
      <c r="I412" s="217"/>
      <c r="J412" s="217"/>
      <c r="K412" s="217"/>
      <c r="L412" s="217"/>
      <c r="M412" s="217"/>
      <c r="N412" s="217"/>
    </row>
    <row r="413" spans="8:14">
      <c r="H413" s="217"/>
      <c r="I413" s="217"/>
      <c r="J413" s="217"/>
      <c r="K413" s="217"/>
      <c r="L413" s="217"/>
      <c r="M413" s="217"/>
      <c r="N413" s="217"/>
    </row>
    <row r="414" spans="8:14">
      <c r="H414" s="217"/>
      <c r="I414" s="217"/>
      <c r="J414" s="217"/>
      <c r="K414" s="217"/>
      <c r="L414" s="217"/>
      <c r="M414" s="217"/>
      <c r="N414" s="217"/>
    </row>
    <row r="415" spans="8:14">
      <c r="H415" s="217"/>
      <c r="I415" s="217"/>
      <c r="J415" s="217"/>
      <c r="K415" s="217"/>
      <c r="L415" s="217"/>
      <c r="M415" s="217"/>
      <c r="N415" s="217"/>
    </row>
    <row r="416" spans="8:14">
      <c r="H416" s="217"/>
      <c r="I416" s="217"/>
      <c r="J416" s="217"/>
      <c r="K416" s="217"/>
      <c r="L416" s="217"/>
      <c r="M416" s="217"/>
      <c r="N416" s="217"/>
    </row>
    <row r="417" spans="8:14">
      <c r="H417" s="217"/>
      <c r="I417" s="217"/>
      <c r="J417" s="217"/>
      <c r="K417" s="217"/>
      <c r="L417" s="217"/>
      <c r="M417" s="217"/>
      <c r="N417" s="217"/>
    </row>
    <row r="418" spans="8:14">
      <c r="H418" s="217"/>
      <c r="I418" s="217"/>
      <c r="J418" s="217"/>
      <c r="K418" s="217"/>
      <c r="L418" s="217"/>
      <c r="M418" s="217"/>
      <c r="N418" s="217"/>
    </row>
    <row r="419" spans="8:14">
      <c r="H419" s="217"/>
      <c r="I419" s="217"/>
      <c r="J419" s="217"/>
      <c r="K419" s="217"/>
      <c r="L419" s="217"/>
      <c r="M419" s="217"/>
      <c r="N419" s="217"/>
    </row>
    <row r="420" spans="8:14">
      <c r="H420" s="217"/>
      <c r="I420" s="217"/>
      <c r="J420" s="217"/>
      <c r="K420" s="217"/>
      <c r="L420" s="217"/>
      <c r="M420" s="217"/>
      <c r="N420" s="217"/>
    </row>
    <row r="421" spans="8:14">
      <c r="H421" s="217"/>
      <c r="I421" s="217"/>
      <c r="J421" s="217"/>
      <c r="K421" s="217"/>
      <c r="L421" s="217"/>
      <c r="M421" s="217"/>
      <c r="N421" s="217"/>
    </row>
    <row r="422" spans="8:14">
      <c r="H422" s="217"/>
      <c r="I422" s="217"/>
      <c r="J422" s="217"/>
      <c r="K422" s="217"/>
      <c r="L422" s="217"/>
      <c r="M422" s="217"/>
      <c r="N422" s="217"/>
    </row>
    <row r="423" spans="8:14">
      <c r="H423" s="217"/>
      <c r="I423" s="217"/>
      <c r="J423" s="217"/>
      <c r="K423" s="217"/>
      <c r="L423" s="217"/>
      <c r="M423" s="217"/>
      <c r="N423" s="217"/>
    </row>
    <row r="424" spans="8:14">
      <c r="H424" s="217"/>
      <c r="I424" s="217"/>
      <c r="J424" s="217"/>
      <c r="K424" s="217"/>
      <c r="L424" s="217"/>
      <c r="M424" s="217"/>
      <c r="N424" s="217"/>
    </row>
    <row r="425" spans="8:14">
      <c r="H425" s="217"/>
      <c r="I425" s="217"/>
      <c r="J425" s="217"/>
      <c r="K425" s="217"/>
      <c r="L425" s="217"/>
      <c r="M425" s="217"/>
      <c r="N425" s="217"/>
    </row>
    <row r="426" spans="8:14">
      <c r="H426" s="217"/>
      <c r="I426" s="217"/>
      <c r="J426" s="217"/>
      <c r="K426" s="217"/>
      <c r="L426" s="217"/>
      <c r="M426" s="217"/>
      <c r="N426" s="217"/>
    </row>
    <row r="427" spans="8:14">
      <c r="H427" s="217"/>
      <c r="I427" s="217"/>
      <c r="J427" s="217"/>
      <c r="K427" s="217"/>
      <c r="L427" s="217"/>
      <c r="M427" s="217"/>
      <c r="N427" s="217"/>
    </row>
    <row r="428" spans="8:14">
      <c r="H428" s="217"/>
      <c r="I428" s="217"/>
      <c r="J428" s="217"/>
      <c r="K428" s="217"/>
      <c r="L428" s="217"/>
      <c r="M428" s="217"/>
      <c r="N428" s="217"/>
    </row>
    <row r="429" spans="8:14">
      <c r="H429" s="217"/>
      <c r="I429" s="217"/>
      <c r="J429" s="217"/>
      <c r="K429" s="217"/>
      <c r="L429" s="217"/>
      <c r="M429" s="217"/>
      <c r="N429" s="217"/>
    </row>
    <row r="430" spans="8:14">
      <c r="H430" s="217"/>
      <c r="I430" s="217"/>
      <c r="J430" s="217"/>
      <c r="K430" s="217"/>
      <c r="L430" s="217"/>
      <c r="M430" s="217"/>
      <c r="N430" s="217"/>
    </row>
    <row r="431" spans="8:14">
      <c r="H431" s="217"/>
      <c r="I431" s="217"/>
      <c r="J431" s="217"/>
      <c r="K431" s="217"/>
      <c r="L431" s="217"/>
      <c r="M431" s="217"/>
      <c r="N431" s="217"/>
    </row>
    <row r="432" spans="8:14">
      <c r="H432" s="217"/>
      <c r="I432" s="217"/>
      <c r="J432" s="217"/>
      <c r="K432" s="217"/>
      <c r="L432" s="217"/>
      <c r="M432" s="217"/>
      <c r="N432" s="217"/>
    </row>
    <row r="433" spans="8:14">
      <c r="H433" s="217"/>
      <c r="I433" s="217"/>
      <c r="J433" s="217"/>
      <c r="K433" s="217"/>
      <c r="L433" s="217"/>
      <c r="M433" s="217"/>
      <c r="N433" s="217"/>
    </row>
    <row r="434" spans="8:14">
      <c r="H434" s="217"/>
      <c r="I434" s="217"/>
      <c r="J434" s="217"/>
      <c r="K434" s="217"/>
      <c r="L434" s="217"/>
      <c r="M434" s="217"/>
      <c r="N434" s="217"/>
    </row>
    <row r="435" spans="8:14">
      <c r="H435" s="217"/>
      <c r="I435" s="217"/>
      <c r="J435" s="217"/>
      <c r="K435" s="217"/>
      <c r="L435" s="217"/>
      <c r="M435" s="217"/>
      <c r="N435" s="217"/>
    </row>
    <row r="436" spans="8:14">
      <c r="H436" s="217"/>
      <c r="I436" s="217"/>
      <c r="J436" s="217"/>
      <c r="K436" s="217"/>
      <c r="L436" s="217"/>
      <c r="M436" s="217"/>
      <c r="N436" s="217"/>
    </row>
    <row r="437" spans="8:14">
      <c r="H437" s="217"/>
      <c r="I437" s="217"/>
      <c r="J437" s="217"/>
      <c r="K437" s="217"/>
      <c r="L437" s="217"/>
      <c r="M437" s="217"/>
      <c r="N437" s="217"/>
    </row>
    <row r="438" spans="8:14">
      <c r="H438" s="217"/>
      <c r="I438" s="217"/>
      <c r="J438" s="217"/>
      <c r="K438" s="217"/>
      <c r="L438" s="217"/>
      <c r="M438" s="217"/>
      <c r="N438" s="217"/>
    </row>
    <row r="439" spans="8:14">
      <c r="H439" s="217"/>
      <c r="I439" s="217"/>
      <c r="J439" s="217"/>
      <c r="K439" s="217"/>
      <c r="L439" s="217"/>
      <c r="M439" s="217"/>
      <c r="N439" s="217"/>
    </row>
    <row r="440" spans="8:14">
      <c r="H440" s="217"/>
      <c r="I440" s="217"/>
      <c r="J440" s="217"/>
      <c r="K440" s="217"/>
      <c r="L440" s="217"/>
      <c r="M440" s="217"/>
      <c r="N440" s="217"/>
    </row>
    <row r="441" spans="8:14">
      <c r="H441" s="217"/>
      <c r="I441" s="217"/>
      <c r="J441" s="217"/>
      <c r="K441" s="217"/>
      <c r="L441" s="217"/>
      <c r="M441" s="217"/>
      <c r="N441" s="217"/>
    </row>
    <row r="442" spans="8:14">
      <c r="H442" s="217"/>
      <c r="I442" s="217"/>
      <c r="J442" s="217"/>
      <c r="K442" s="217"/>
      <c r="L442" s="217"/>
      <c r="M442" s="217"/>
      <c r="N442" s="217"/>
    </row>
    <row r="443" spans="8:14">
      <c r="H443" s="217"/>
      <c r="I443" s="217"/>
      <c r="J443" s="217"/>
      <c r="K443" s="217"/>
      <c r="L443" s="217"/>
      <c r="M443" s="217"/>
      <c r="N443" s="217"/>
    </row>
    <row r="444" spans="8:14">
      <c r="H444" s="217"/>
      <c r="I444" s="217"/>
      <c r="J444" s="217"/>
      <c r="K444" s="217"/>
      <c r="L444" s="217"/>
      <c r="M444" s="217"/>
      <c r="N444" s="217"/>
    </row>
    <row r="445" spans="8:14">
      <c r="H445" s="217"/>
      <c r="I445" s="217"/>
      <c r="J445" s="217"/>
      <c r="K445" s="217"/>
      <c r="L445" s="217"/>
      <c r="M445" s="217"/>
      <c r="N445" s="217"/>
    </row>
    <row r="446" spans="8:14">
      <c r="H446" s="217"/>
      <c r="I446" s="217"/>
      <c r="J446" s="217"/>
      <c r="K446" s="217"/>
      <c r="L446" s="217"/>
      <c r="M446" s="217"/>
      <c r="N446" s="217"/>
    </row>
    <row r="447" spans="8:14">
      <c r="H447" s="217"/>
      <c r="I447" s="217"/>
      <c r="J447" s="217"/>
      <c r="K447" s="217"/>
      <c r="L447" s="217"/>
      <c r="M447" s="217"/>
      <c r="N447" s="217"/>
    </row>
    <row r="448" spans="8:14">
      <c r="H448" s="217"/>
      <c r="I448" s="217"/>
      <c r="J448" s="217"/>
      <c r="K448" s="217"/>
      <c r="L448" s="217"/>
      <c r="M448" s="217"/>
      <c r="N448" s="217"/>
    </row>
    <row r="449" spans="8:14">
      <c r="H449" s="217"/>
      <c r="I449" s="217"/>
      <c r="J449" s="217"/>
      <c r="K449" s="217"/>
      <c r="L449" s="217"/>
      <c r="M449" s="217"/>
      <c r="N449" s="217"/>
    </row>
    <row r="450" spans="8:14">
      <c r="H450" s="217"/>
      <c r="I450" s="217"/>
      <c r="J450" s="217"/>
      <c r="K450" s="217"/>
      <c r="L450" s="217"/>
      <c r="M450" s="217"/>
      <c r="N450" s="217"/>
    </row>
    <row r="451" spans="8:14">
      <c r="H451" s="217"/>
      <c r="I451" s="217"/>
      <c r="J451" s="217"/>
      <c r="K451" s="217"/>
      <c r="L451" s="217"/>
      <c r="M451" s="217"/>
      <c r="N451" s="217"/>
    </row>
    <row r="452" spans="8:14">
      <c r="H452" s="217"/>
      <c r="I452" s="217"/>
      <c r="J452" s="217"/>
      <c r="K452" s="217"/>
      <c r="L452" s="217"/>
      <c r="M452" s="217"/>
      <c r="N452" s="217"/>
    </row>
    <row r="453" spans="8:14">
      <c r="H453" s="217"/>
      <c r="I453" s="217"/>
      <c r="J453" s="217"/>
      <c r="K453" s="217"/>
      <c r="L453" s="217"/>
      <c r="M453" s="217"/>
      <c r="N453" s="217"/>
    </row>
    <row r="454" spans="8:14">
      <c r="H454" s="217"/>
      <c r="I454" s="217"/>
      <c r="J454" s="217"/>
      <c r="K454" s="217"/>
      <c r="L454" s="217"/>
      <c r="M454" s="217"/>
      <c r="N454" s="217"/>
    </row>
    <row r="455" spans="8:14">
      <c r="H455" s="217"/>
      <c r="I455" s="217"/>
      <c r="J455" s="217"/>
      <c r="K455" s="217"/>
      <c r="L455" s="217"/>
      <c r="M455" s="217"/>
      <c r="N455" s="217"/>
    </row>
    <row r="456" spans="8:14">
      <c r="H456" s="217"/>
      <c r="I456" s="217"/>
      <c r="J456" s="217"/>
      <c r="K456" s="217"/>
      <c r="L456" s="217"/>
      <c r="M456" s="217"/>
      <c r="N456" s="217"/>
    </row>
    <row r="457" spans="8:14">
      <c r="H457" s="217"/>
      <c r="I457" s="217"/>
      <c r="J457" s="217"/>
      <c r="K457" s="217"/>
      <c r="L457" s="217"/>
      <c r="M457" s="217"/>
      <c r="N457" s="217"/>
    </row>
    <row r="458" spans="8:14">
      <c r="H458" s="217"/>
      <c r="I458" s="217"/>
      <c r="J458" s="217"/>
      <c r="K458" s="217"/>
      <c r="L458" s="217"/>
      <c r="M458" s="217"/>
      <c r="N458" s="217"/>
    </row>
    <row r="459" spans="8:14">
      <c r="H459" s="217"/>
      <c r="I459" s="217"/>
      <c r="J459" s="217"/>
      <c r="K459" s="217"/>
      <c r="L459" s="217"/>
      <c r="M459" s="217"/>
      <c r="N459" s="217"/>
    </row>
    <row r="460" spans="8:14">
      <c r="H460" s="217"/>
      <c r="I460" s="217"/>
      <c r="J460" s="217"/>
      <c r="K460" s="217"/>
      <c r="L460" s="217"/>
      <c r="M460" s="217"/>
      <c r="N460" s="217"/>
    </row>
    <row r="461" spans="8:14">
      <c r="H461" s="217"/>
      <c r="I461" s="217"/>
      <c r="J461" s="217"/>
      <c r="K461" s="217"/>
      <c r="L461" s="217"/>
      <c r="M461" s="217"/>
      <c r="N461" s="217"/>
    </row>
    <row r="462" spans="8:14">
      <c r="H462" s="217"/>
      <c r="I462" s="217"/>
      <c r="J462" s="217"/>
      <c r="K462" s="217"/>
      <c r="L462" s="217"/>
      <c r="M462" s="217"/>
      <c r="N462" s="217"/>
    </row>
    <row r="463" spans="8:14">
      <c r="H463" s="217"/>
      <c r="I463" s="217"/>
      <c r="J463" s="217"/>
      <c r="K463" s="217"/>
      <c r="L463" s="217"/>
      <c r="M463" s="217"/>
      <c r="N463" s="217"/>
    </row>
    <row r="464" spans="8:14">
      <c r="H464" s="217"/>
      <c r="I464" s="217"/>
      <c r="J464" s="217"/>
      <c r="K464" s="217"/>
      <c r="L464" s="217"/>
      <c r="M464" s="217"/>
      <c r="N464" s="217"/>
    </row>
    <row r="465" spans="8:14">
      <c r="H465" s="217"/>
      <c r="I465" s="217"/>
      <c r="J465" s="217"/>
      <c r="K465" s="217"/>
      <c r="L465" s="217"/>
      <c r="M465" s="217"/>
      <c r="N465" s="217"/>
    </row>
    <row r="466" spans="8:14">
      <c r="H466" s="217"/>
      <c r="I466" s="217"/>
      <c r="J466" s="217"/>
      <c r="K466" s="217"/>
      <c r="L466" s="217"/>
      <c r="M466" s="217"/>
      <c r="N466" s="217"/>
    </row>
    <row r="467" spans="8:14">
      <c r="H467" s="217"/>
      <c r="I467" s="217"/>
      <c r="J467" s="217"/>
      <c r="K467" s="217"/>
      <c r="L467" s="217"/>
      <c r="M467" s="217"/>
      <c r="N467" s="217"/>
    </row>
    <row r="468" spans="8:14">
      <c r="H468" s="217"/>
      <c r="I468" s="217"/>
      <c r="J468" s="217"/>
      <c r="K468" s="217"/>
      <c r="L468" s="217"/>
      <c r="M468" s="217"/>
      <c r="N468" s="217"/>
    </row>
    <row r="469" spans="8:14">
      <c r="H469" s="217"/>
      <c r="I469" s="217"/>
      <c r="J469" s="217"/>
      <c r="K469" s="217"/>
      <c r="L469" s="217"/>
      <c r="M469" s="217"/>
      <c r="N469" s="217"/>
    </row>
    <row r="470" spans="8:14">
      <c r="H470" s="217"/>
      <c r="I470" s="217"/>
      <c r="J470" s="217"/>
      <c r="K470" s="217"/>
      <c r="L470" s="217"/>
      <c r="M470" s="217"/>
      <c r="N470" s="217"/>
    </row>
    <row r="471" spans="8:14">
      <c r="H471" s="217"/>
      <c r="I471" s="217"/>
      <c r="J471" s="217"/>
      <c r="K471" s="217"/>
      <c r="L471" s="217"/>
      <c r="M471" s="217"/>
      <c r="N471" s="217"/>
    </row>
    <row r="472" spans="8:14">
      <c r="H472" s="217"/>
      <c r="I472" s="217"/>
      <c r="J472" s="217"/>
      <c r="K472" s="217"/>
      <c r="L472" s="217"/>
      <c r="M472" s="217"/>
      <c r="N472" s="217"/>
    </row>
    <row r="473" spans="8:14">
      <c r="H473" s="217"/>
      <c r="I473" s="217"/>
      <c r="J473" s="217"/>
      <c r="K473" s="217"/>
      <c r="L473" s="217"/>
      <c r="M473" s="217"/>
      <c r="N473" s="217"/>
    </row>
    <row r="474" spans="8:14">
      <c r="H474" s="217"/>
      <c r="I474" s="217"/>
      <c r="J474" s="217"/>
      <c r="K474" s="217"/>
      <c r="L474" s="217"/>
      <c r="M474" s="217"/>
      <c r="N474" s="217"/>
    </row>
    <row r="475" spans="8:14">
      <c r="H475" s="217"/>
      <c r="I475" s="217"/>
      <c r="J475" s="217"/>
      <c r="K475" s="217"/>
      <c r="L475" s="217"/>
      <c r="M475" s="217"/>
      <c r="N475" s="217"/>
    </row>
    <row r="476" spans="8:14">
      <c r="H476" s="217"/>
      <c r="I476" s="217"/>
      <c r="J476" s="217"/>
      <c r="K476" s="217"/>
      <c r="L476" s="217"/>
      <c r="M476" s="217"/>
      <c r="N476" s="217"/>
    </row>
    <row r="477" spans="8:14">
      <c r="H477" s="217"/>
      <c r="I477" s="217"/>
      <c r="J477" s="217"/>
      <c r="K477" s="217"/>
      <c r="L477" s="217"/>
      <c r="M477" s="217"/>
      <c r="N477" s="217"/>
    </row>
    <row r="478" spans="8:14">
      <c r="H478" s="217"/>
      <c r="I478" s="217"/>
      <c r="J478" s="217"/>
      <c r="K478" s="217"/>
      <c r="L478" s="217"/>
      <c r="M478" s="217"/>
      <c r="N478" s="217"/>
    </row>
    <row r="479" spans="8:14">
      <c r="H479" s="217"/>
      <c r="I479" s="217"/>
      <c r="J479" s="217"/>
      <c r="K479" s="217"/>
      <c r="L479" s="217"/>
      <c r="M479" s="217"/>
      <c r="N479" s="217"/>
    </row>
    <row r="480" spans="8:14">
      <c r="H480" s="217"/>
      <c r="I480" s="217"/>
      <c r="J480" s="217"/>
      <c r="K480" s="217"/>
      <c r="L480" s="217"/>
      <c r="M480" s="217"/>
      <c r="N480" s="217"/>
    </row>
    <row r="481" spans="8:14">
      <c r="H481" s="217"/>
      <c r="I481" s="217"/>
      <c r="J481" s="217"/>
      <c r="K481" s="217"/>
      <c r="L481" s="217"/>
      <c r="M481" s="217"/>
      <c r="N481" s="217"/>
    </row>
    <row r="482" spans="8:14">
      <c r="H482" s="217"/>
      <c r="I482" s="217"/>
      <c r="J482" s="217"/>
      <c r="K482" s="217"/>
      <c r="L482" s="217"/>
      <c r="M482" s="217"/>
      <c r="N482" s="217"/>
    </row>
    <row r="483" spans="8:14">
      <c r="H483" s="217"/>
      <c r="I483" s="217"/>
      <c r="J483" s="217"/>
      <c r="K483" s="217"/>
      <c r="L483" s="217"/>
      <c r="M483" s="217"/>
      <c r="N483" s="217"/>
    </row>
    <row r="484" spans="8:14">
      <c r="H484" s="217"/>
      <c r="I484" s="217"/>
      <c r="J484" s="217"/>
      <c r="K484" s="217"/>
      <c r="L484" s="217"/>
      <c r="M484" s="217"/>
      <c r="N484" s="217"/>
    </row>
    <row r="485" spans="8:14">
      <c r="H485" s="217"/>
      <c r="I485" s="217"/>
      <c r="J485" s="217"/>
      <c r="K485" s="217"/>
      <c r="L485" s="217"/>
      <c r="M485" s="217"/>
      <c r="N485" s="217"/>
    </row>
    <row r="486" spans="8:14">
      <c r="H486" s="217"/>
      <c r="I486" s="217"/>
      <c r="J486" s="217"/>
      <c r="K486" s="217"/>
      <c r="L486" s="217"/>
      <c r="M486" s="217"/>
      <c r="N486" s="217"/>
    </row>
    <row r="487" spans="8:14">
      <c r="H487" s="217"/>
      <c r="I487" s="217"/>
      <c r="J487" s="217"/>
      <c r="K487" s="217"/>
      <c r="L487" s="217"/>
      <c r="M487" s="217"/>
      <c r="N487" s="217"/>
    </row>
    <row r="488" spans="8:14">
      <c r="H488" s="217"/>
      <c r="I488" s="217"/>
      <c r="J488" s="217"/>
      <c r="K488" s="217"/>
      <c r="L488" s="217"/>
      <c r="M488" s="217"/>
      <c r="N488" s="217"/>
    </row>
    <row r="489" spans="8:14">
      <c r="H489" s="217"/>
      <c r="I489" s="217"/>
      <c r="J489" s="217"/>
      <c r="K489" s="217"/>
      <c r="L489" s="217"/>
      <c r="M489" s="217"/>
      <c r="N489" s="217"/>
    </row>
    <row r="490" spans="8:14">
      <c r="H490" s="217"/>
      <c r="I490" s="217"/>
      <c r="J490" s="217"/>
      <c r="K490" s="217"/>
      <c r="L490" s="217"/>
      <c r="M490" s="217"/>
      <c r="N490" s="217"/>
    </row>
    <row r="491" spans="8:14">
      <c r="H491" s="217"/>
      <c r="I491" s="217"/>
      <c r="J491" s="217"/>
      <c r="K491" s="217"/>
      <c r="L491" s="217"/>
      <c r="M491" s="217"/>
      <c r="N491" s="217"/>
    </row>
    <row r="492" spans="8:14">
      <c r="H492" s="217"/>
      <c r="I492" s="217"/>
      <c r="J492" s="217"/>
      <c r="K492" s="217"/>
      <c r="L492" s="217"/>
      <c r="M492" s="217"/>
      <c r="N492" s="217"/>
    </row>
    <row r="493" spans="8:14">
      <c r="H493" s="217"/>
      <c r="I493" s="217"/>
      <c r="J493" s="217"/>
      <c r="K493" s="217"/>
      <c r="L493" s="217"/>
      <c r="M493" s="217"/>
      <c r="N493" s="217"/>
    </row>
    <row r="494" spans="8:14">
      <c r="H494" s="217"/>
      <c r="I494" s="217"/>
      <c r="J494" s="217"/>
      <c r="K494" s="217"/>
      <c r="L494" s="217"/>
      <c r="M494" s="217"/>
      <c r="N494" s="217"/>
    </row>
    <row r="495" spans="8:14">
      <c r="H495" s="217"/>
      <c r="I495" s="217"/>
      <c r="J495" s="217"/>
      <c r="K495" s="217"/>
      <c r="L495" s="217"/>
      <c r="M495" s="217"/>
      <c r="N495" s="217"/>
    </row>
    <row r="496" spans="8:14">
      <c r="H496" s="217"/>
      <c r="I496" s="217"/>
      <c r="J496" s="217"/>
      <c r="K496" s="217"/>
      <c r="L496" s="217"/>
      <c r="M496" s="217"/>
      <c r="N496" s="217"/>
    </row>
    <row r="497" spans="8:14">
      <c r="H497" s="217"/>
      <c r="I497" s="217"/>
      <c r="J497" s="217"/>
      <c r="K497" s="217"/>
      <c r="L497" s="217"/>
      <c r="M497" s="217"/>
      <c r="N497" s="217"/>
    </row>
    <row r="498" spans="8:14">
      <c r="H498" s="217"/>
      <c r="I498" s="217"/>
      <c r="J498" s="217"/>
      <c r="K498" s="217"/>
      <c r="L498" s="217"/>
      <c r="M498" s="217"/>
      <c r="N498" s="217"/>
    </row>
    <row r="499" spans="8:14">
      <c r="H499" s="217"/>
      <c r="I499" s="217"/>
      <c r="J499" s="217"/>
      <c r="K499" s="217"/>
      <c r="L499" s="217"/>
      <c r="M499" s="217"/>
      <c r="N499" s="217"/>
    </row>
    <row r="500" spans="8:14">
      <c r="H500" s="217"/>
      <c r="I500" s="217"/>
      <c r="J500" s="217"/>
      <c r="K500" s="217"/>
      <c r="L500" s="217"/>
      <c r="M500" s="217"/>
      <c r="N500" s="217"/>
    </row>
    <row r="501" spans="8:14">
      <c r="H501" s="217"/>
      <c r="I501" s="217"/>
      <c r="J501" s="217"/>
      <c r="K501" s="217"/>
      <c r="L501" s="217"/>
      <c r="M501" s="217"/>
      <c r="N501" s="217"/>
    </row>
    <row r="502" spans="8:14">
      <c r="H502" s="217"/>
      <c r="I502" s="217"/>
      <c r="J502" s="217"/>
      <c r="K502" s="217"/>
      <c r="L502" s="217"/>
      <c r="M502" s="217"/>
      <c r="N502" s="217"/>
    </row>
    <row r="503" spans="8:14">
      <c r="H503" s="217"/>
      <c r="I503" s="217"/>
      <c r="J503" s="217"/>
      <c r="K503" s="217"/>
      <c r="L503" s="217"/>
      <c r="M503" s="217"/>
      <c r="N503" s="217"/>
    </row>
    <row r="504" spans="8:14">
      <c r="H504" s="217"/>
      <c r="I504" s="217"/>
      <c r="J504" s="217"/>
      <c r="K504" s="217"/>
      <c r="L504" s="217"/>
      <c r="M504" s="217"/>
      <c r="N504" s="217"/>
    </row>
    <row r="505" spans="8:14">
      <c r="H505" s="217"/>
      <c r="I505" s="217"/>
      <c r="J505" s="217"/>
      <c r="K505" s="217"/>
      <c r="L505" s="217"/>
      <c r="M505" s="217"/>
      <c r="N505" s="217"/>
    </row>
    <row r="506" spans="8:14">
      <c r="H506" s="217"/>
      <c r="I506" s="217"/>
      <c r="J506" s="217"/>
      <c r="K506" s="217"/>
      <c r="L506" s="217"/>
      <c r="M506" s="217"/>
      <c r="N506" s="217"/>
    </row>
    <row r="507" spans="8:14">
      <c r="H507" s="217"/>
      <c r="I507" s="217"/>
      <c r="J507" s="217"/>
      <c r="K507" s="217"/>
      <c r="L507" s="217"/>
      <c r="M507" s="217"/>
      <c r="N507" s="217"/>
    </row>
    <row r="508" spans="8:14">
      <c r="H508" s="217"/>
      <c r="I508" s="217"/>
      <c r="J508" s="217"/>
      <c r="K508" s="217"/>
      <c r="L508" s="217"/>
      <c r="M508" s="217"/>
      <c r="N508" s="217"/>
    </row>
    <row r="509" spans="8:14">
      <c r="H509" s="217"/>
      <c r="I509" s="217"/>
      <c r="J509" s="217"/>
      <c r="K509" s="217"/>
      <c r="L509" s="217"/>
      <c r="M509" s="217"/>
      <c r="N509" s="217"/>
    </row>
    <row r="510" spans="8:14">
      <c r="H510" s="217"/>
      <c r="I510" s="217"/>
      <c r="J510" s="217"/>
      <c r="K510" s="217"/>
      <c r="L510" s="217"/>
      <c r="M510" s="217"/>
      <c r="N510" s="217"/>
    </row>
    <row r="511" spans="8:14">
      <c r="H511" s="217"/>
      <c r="I511" s="217"/>
      <c r="J511" s="217"/>
      <c r="K511" s="217"/>
      <c r="L511" s="217"/>
      <c r="M511" s="217"/>
      <c r="N511" s="217"/>
    </row>
    <row r="512" spans="8:14">
      <c r="H512" s="217"/>
      <c r="I512" s="217"/>
      <c r="J512" s="217"/>
      <c r="K512" s="217"/>
      <c r="L512" s="217"/>
      <c r="M512" s="217"/>
      <c r="N512" s="217"/>
    </row>
    <row r="513" spans="8:14">
      <c r="H513" s="217"/>
      <c r="I513" s="217"/>
      <c r="J513" s="217"/>
      <c r="K513" s="217"/>
      <c r="L513" s="217"/>
      <c r="M513" s="217"/>
      <c r="N513" s="217"/>
    </row>
    <row r="514" spans="8:14">
      <c r="H514" s="217"/>
      <c r="I514" s="217"/>
      <c r="J514" s="217"/>
      <c r="K514" s="217"/>
      <c r="L514" s="217"/>
      <c r="M514" s="217"/>
      <c r="N514" s="217"/>
    </row>
    <row r="515" spans="8:14">
      <c r="H515" s="217"/>
      <c r="I515" s="217"/>
      <c r="J515" s="217"/>
      <c r="K515" s="217"/>
      <c r="L515" s="217"/>
      <c r="M515" s="217"/>
      <c r="N515" s="217"/>
    </row>
    <row r="516" spans="8:14">
      <c r="H516" s="217"/>
      <c r="I516" s="217"/>
      <c r="J516" s="217"/>
      <c r="K516" s="217"/>
      <c r="L516" s="217"/>
      <c r="M516" s="217"/>
      <c r="N516" s="217"/>
    </row>
    <row r="517" spans="8:14">
      <c r="H517" s="217"/>
      <c r="I517" s="217"/>
      <c r="J517" s="217"/>
      <c r="K517" s="217"/>
      <c r="L517" s="217"/>
      <c r="M517" s="217"/>
      <c r="N517" s="217"/>
    </row>
    <row r="518" spans="8:14">
      <c r="H518" s="217"/>
      <c r="I518" s="217"/>
      <c r="J518" s="217"/>
      <c r="K518" s="217"/>
      <c r="L518" s="217"/>
      <c r="M518" s="217"/>
      <c r="N518" s="217"/>
    </row>
    <row r="519" spans="8:14">
      <c r="H519" s="217"/>
      <c r="I519" s="217"/>
      <c r="J519" s="217"/>
      <c r="K519" s="217"/>
      <c r="L519" s="217"/>
      <c r="M519" s="217"/>
      <c r="N519" s="217"/>
    </row>
    <row r="520" spans="8:14">
      <c r="H520" s="217"/>
      <c r="I520" s="217"/>
      <c r="J520" s="217"/>
      <c r="K520" s="217"/>
      <c r="L520" s="217"/>
      <c r="M520" s="217"/>
      <c r="N520" s="217"/>
    </row>
    <row r="521" spans="8:14">
      <c r="H521" s="217"/>
      <c r="I521" s="217"/>
      <c r="J521" s="217"/>
      <c r="K521" s="217"/>
      <c r="L521" s="217"/>
      <c r="M521" s="217"/>
      <c r="N521" s="217"/>
    </row>
    <row r="522" spans="8:14">
      <c r="H522" s="217"/>
      <c r="I522" s="217"/>
      <c r="J522" s="217"/>
      <c r="K522" s="217"/>
      <c r="L522" s="217"/>
      <c r="M522" s="217"/>
      <c r="N522" s="217"/>
    </row>
    <row r="523" spans="8:14">
      <c r="H523" s="217"/>
      <c r="I523" s="217"/>
      <c r="J523" s="217"/>
      <c r="K523" s="217"/>
      <c r="L523" s="217"/>
      <c r="M523" s="217"/>
      <c r="N523" s="217"/>
    </row>
    <row r="524" spans="8:14">
      <c r="H524" s="217"/>
      <c r="I524" s="217"/>
      <c r="J524" s="217"/>
      <c r="K524" s="217"/>
      <c r="L524" s="217"/>
      <c r="M524" s="217"/>
      <c r="N524" s="217"/>
    </row>
    <row r="525" spans="8:14">
      <c r="H525" s="217"/>
      <c r="I525" s="217"/>
      <c r="J525" s="217"/>
      <c r="K525" s="217"/>
      <c r="L525" s="217"/>
      <c r="M525" s="217"/>
      <c r="N525" s="217"/>
    </row>
    <row r="526" spans="8:14">
      <c r="H526" s="217"/>
      <c r="I526" s="217"/>
      <c r="J526" s="217"/>
      <c r="K526" s="217"/>
      <c r="L526" s="217"/>
      <c r="M526" s="217"/>
      <c r="N526" s="217"/>
    </row>
    <row r="527" spans="8:14">
      <c r="H527" s="217"/>
      <c r="I527" s="217"/>
      <c r="J527" s="217"/>
      <c r="K527" s="217"/>
      <c r="L527" s="217"/>
      <c r="M527" s="217"/>
      <c r="N527" s="217"/>
    </row>
    <row r="528" spans="8:14">
      <c r="H528" s="217"/>
      <c r="I528" s="217"/>
      <c r="J528" s="217"/>
      <c r="K528" s="217"/>
      <c r="L528" s="217"/>
      <c r="M528" s="217"/>
      <c r="N528" s="217"/>
    </row>
    <row r="529" spans="8:14">
      <c r="H529" s="217"/>
      <c r="I529" s="217"/>
      <c r="J529" s="217"/>
      <c r="K529" s="217"/>
      <c r="L529" s="217"/>
      <c r="M529" s="217"/>
      <c r="N529" s="217"/>
    </row>
    <row r="530" spans="8:14">
      <c r="H530" s="217"/>
      <c r="I530" s="217"/>
      <c r="J530" s="217"/>
      <c r="K530" s="217"/>
      <c r="L530" s="217"/>
      <c r="M530" s="217"/>
      <c r="N530" s="217"/>
    </row>
    <row r="531" spans="8:14">
      <c r="H531" s="217"/>
      <c r="I531" s="217"/>
      <c r="J531" s="217"/>
      <c r="K531" s="217"/>
      <c r="L531" s="217"/>
      <c r="M531" s="217"/>
      <c r="N531" s="217"/>
    </row>
    <row r="532" spans="8:14">
      <c r="H532" s="217"/>
      <c r="I532" s="217"/>
      <c r="J532" s="217"/>
      <c r="K532" s="217"/>
      <c r="L532" s="217"/>
      <c r="M532" s="217"/>
      <c r="N532" s="217"/>
    </row>
    <row r="533" spans="8:14">
      <c r="H533" s="217"/>
      <c r="I533" s="217"/>
      <c r="J533" s="217"/>
      <c r="K533" s="217"/>
      <c r="L533" s="217"/>
      <c r="M533" s="217"/>
      <c r="N533" s="217"/>
    </row>
    <row r="534" spans="8:14">
      <c r="H534" s="217"/>
      <c r="I534" s="217"/>
      <c r="J534" s="217"/>
      <c r="K534" s="217"/>
      <c r="L534" s="217"/>
      <c r="M534" s="217"/>
      <c r="N534" s="217"/>
    </row>
    <row r="535" spans="8:14">
      <c r="H535" s="217"/>
      <c r="I535" s="217"/>
      <c r="J535" s="217"/>
      <c r="K535" s="217"/>
      <c r="L535" s="217"/>
      <c r="M535" s="217"/>
      <c r="N535" s="217"/>
    </row>
    <row r="536" spans="8:14">
      <c r="H536" s="217"/>
      <c r="I536" s="217"/>
      <c r="J536" s="217"/>
      <c r="K536" s="217"/>
      <c r="L536" s="217"/>
      <c r="M536" s="217"/>
      <c r="N536" s="217"/>
    </row>
    <row r="537" spans="8:14">
      <c r="H537" s="217"/>
      <c r="I537" s="217"/>
      <c r="J537" s="217"/>
      <c r="K537" s="217"/>
      <c r="L537" s="217"/>
      <c r="M537" s="217"/>
      <c r="N537" s="217"/>
    </row>
    <row r="538" spans="8:14">
      <c r="H538" s="217"/>
      <c r="I538" s="217"/>
      <c r="J538" s="217"/>
      <c r="K538" s="217"/>
      <c r="L538" s="217"/>
      <c r="M538" s="217"/>
      <c r="N538" s="217"/>
    </row>
    <row r="539" spans="8:14">
      <c r="H539" s="217"/>
      <c r="I539" s="217"/>
      <c r="J539" s="217"/>
      <c r="K539" s="217"/>
      <c r="L539" s="217"/>
      <c r="M539" s="217"/>
      <c r="N539" s="217"/>
    </row>
    <row r="540" spans="8:14">
      <c r="H540" s="217"/>
      <c r="I540" s="217"/>
      <c r="J540" s="217"/>
      <c r="K540" s="217"/>
      <c r="L540" s="217"/>
      <c r="M540" s="217"/>
      <c r="N540" s="217"/>
    </row>
    <row r="541" spans="8:14">
      <c r="H541" s="217"/>
      <c r="I541" s="217"/>
      <c r="J541" s="217"/>
      <c r="K541" s="217"/>
      <c r="L541" s="217"/>
      <c r="M541" s="217"/>
      <c r="N541" s="217"/>
    </row>
    <row r="542" spans="8:14">
      <c r="H542" s="217"/>
      <c r="I542" s="217"/>
      <c r="J542" s="217"/>
      <c r="K542" s="217"/>
      <c r="L542" s="217"/>
      <c r="M542" s="217"/>
      <c r="N542" s="217"/>
    </row>
    <row r="543" spans="8:14">
      <c r="H543" s="217"/>
      <c r="I543" s="217"/>
      <c r="J543" s="217"/>
      <c r="K543" s="217"/>
      <c r="L543" s="217"/>
      <c r="M543" s="217"/>
      <c r="N543" s="217"/>
    </row>
    <row r="544" spans="8:14">
      <c r="H544" s="217"/>
      <c r="I544" s="217"/>
      <c r="J544" s="217"/>
      <c r="K544" s="217"/>
      <c r="L544" s="217"/>
      <c r="M544" s="217"/>
      <c r="N544" s="217"/>
    </row>
    <row r="545" spans="8:14">
      <c r="H545" s="217"/>
      <c r="I545" s="217"/>
      <c r="J545" s="217"/>
      <c r="K545" s="217"/>
      <c r="L545" s="217"/>
      <c r="M545" s="217"/>
      <c r="N545" s="217"/>
    </row>
    <row r="546" spans="8:14">
      <c r="H546" s="217"/>
      <c r="I546" s="217"/>
      <c r="J546" s="217"/>
      <c r="K546" s="217"/>
      <c r="L546" s="217"/>
      <c r="M546" s="217"/>
      <c r="N546" s="217"/>
    </row>
    <row r="547" spans="8:14">
      <c r="H547" s="217"/>
      <c r="I547" s="217"/>
      <c r="J547" s="217"/>
      <c r="K547" s="217"/>
      <c r="L547" s="217"/>
      <c r="M547" s="217"/>
      <c r="N547" s="217"/>
    </row>
    <row r="548" spans="8:14">
      <c r="H548" s="217"/>
      <c r="I548" s="217"/>
      <c r="J548" s="217"/>
      <c r="K548" s="217"/>
      <c r="L548" s="217"/>
      <c r="M548" s="217"/>
      <c r="N548" s="217"/>
    </row>
    <row r="549" spans="8:14">
      <c r="H549" s="217"/>
      <c r="I549" s="217"/>
      <c r="J549" s="217"/>
      <c r="K549" s="217"/>
      <c r="L549" s="217"/>
      <c r="M549" s="217"/>
      <c r="N549" s="217"/>
    </row>
    <row r="550" spans="8:14">
      <c r="H550" s="217"/>
      <c r="I550" s="217"/>
      <c r="J550" s="217"/>
      <c r="K550" s="217"/>
      <c r="L550" s="217"/>
      <c r="M550" s="217"/>
      <c r="N550" s="217"/>
    </row>
    <row r="551" spans="8:14">
      <c r="H551" s="217"/>
      <c r="I551" s="217"/>
      <c r="J551" s="217"/>
      <c r="K551" s="217"/>
      <c r="L551" s="217"/>
      <c r="M551" s="217"/>
      <c r="N551" s="217"/>
    </row>
    <row r="552" spans="8:14">
      <c r="H552" s="217"/>
      <c r="I552" s="217"/>
      <c r="J552" s="217"/>
      <c r="K552" s="217"/>
      <c r="L552" s="217"/>
      <c r="M552" s="217"/>
      <c r="N552" s="217"/>
    </row>
    <row r="553" spans="8:14">
      <c r="H553" s="217"/>
      <c r="I553" s="217"/>
      <c r="J553" s="217"/>
      <c r="K553" s="217"/>
      <c r="L553" s="217"/>
      <c r="M553" s="217"/>
      <c r="N553" s="217"/>
    </row>
    <row r="554" spans="8:14">
      <c r="H554" s="217"/>
      <c r="I554" s="217"/>
      <c r="J554" s="217"/>
      <c r="K554" s="217"/>
      <c r="L554" s="217"/>
      <c r="M554" s="217"/>
      <c r="N554" s="217"/>
    </row>
    <row r="555" spans="8:14">
      <c r="H555" s="217"/>
      <c r="I555" s="217"/>
      <c r="J555" s="217"/>
      <c r="K555" s="217"/>
      <c r="L555" s="217"/>
      <c r="M555" s="217"/>
      <c r="N555" s="217"/>
    </row>
    <row r="556" spans="8:14">
      <c r="H556" s="217"/>
      <c r="I556" s="217"/>
      <c r="J556" s="217"/>
      <c r="K556" s="217"/>
      <c r="L556" s="217"/>
      <c r="M556" s="217"/>
      <c r="N556" s="217"/>
    </row>
    <row r="557" spans="8:14">
      <c r="H557" s="217"/>
      <c r="I557" s="217"/>
      <c r="J557" s="217"/>
      <c r="K557" s="217"/>
      <c r="L557" s="217"/>
      <c r="M557" s="217"/>
      <c r="N557" s="217"/>
    </row>
    <row r="558" spans="8:14">
      <c r="H558" s="217"/>
      <c r="I558" s="217"/>
      <c r="J558" s="217"/>
      <c r="K558" s="217"/>
      <c r="L558" s="217"/>
      <c r="M558" s="217"/>
      <c r="N558" s="217"/>
    </row>
    <row r="559" spans="8:14">
      <c r="H559" s="217"/>
      <c r="I559" s="217"/>
      <c r="J559" s="217"/>
      <c r="K559" s="217"/>
      <c r="L559" s="217"/>
      <c r="M559" s="217"/>
      <c r="N559" s="217"/>
    </row>
    <row r="560" spans="8:14">
      <c r="H560" s="217"/>
      <c r="I560" s="217"/>
      <c r="J560" s="217"/>
      <c r="K560" s="217"/>
      <c r="L560" s="217"/>
      <c r="M560" s="217"/>
      <c r="N560" s="217"/>
    </row>
    <row r="561" spans="6:14">
      <c r="H561" s="217"/>
      <c r="I561" s="217"/>
      <c r="J561" s="217"/>
      <c r="K561" s="217"/>
      <c r="L561" s="217"/>
      <c r="M561" s="217"/>
      <c r="N561" s="217"/>
    </row>
    <row r="562" spans="6:14">
      <c r="H562" s="217"/>
      <c r="I562" s="217"/>
      <c r="J562" s="217"/>
      <c r="K562" s="217"/>
      <c r="L562" s="217"/>
      <c r="M562" s="217"/>
      <c r="N562" s="217"/>
    </row>
    <row r="563" spans="6:14">
      <c r="H563" s="217"/>
      <c r="I563" s="217"/>
      <c r="J563" s="217"/>
      <c r="K563" s="217"/>
      <c r="L563" s="217"/>
      <c r="M563" s="217"/>
      <c r="N563" s="217"/>
    </row>
    <row r="564" spans="6:14">
      <c r="H564" s="217"/>
      <c r="I564" s="217"/>
      <c r="J564" s="217"/>
      <c r="K564" s="217"/>
      <c r="L564" s="217"/>
      <c r="M564" s="217"/>
      <c r="N564" s="217"/>
    </row>
    <row r="565" spans="6:14">
      <c r="H565" s="217"/>
      <c r="I565" s="217"/>
      <c r="J565" s="217"/>
      <c r="K565" s="217"/>
      <c r="L565" s="217"/>
      <c r="M565" s="217"/>
      <c r="N565" s="217"/>
    </row>
    <row r="566" spans="6:14">
      <c r="H566" s="217"/>
      <c r="I566" s="217"/>
      <c r="J566" s="217"/>
      <c r="K566" s="217"/>
      <c r="L566" s="217"/>
      <c r="M566" s="217"/>
      <c r="N566" s="217"/>
    </row>
    <row r="567" spans="6:14">
      <c r="H567" s="217"/>
      <c r="I567" s="217"/>
      <c r="J567" s="217"/>
      <c r="K567" s="217"/>
      <c r="L567" s="217"/>
      <c r="M567" s="217"/>
      <c r="N567" s="217"/>
    </row>
    <row r="568" spans="6:14">
      <c r="H568" s="217"/>
      <c r="I568" s="217"/>
      <c r="J568" s="217"/>
      <c r="K568" s="217"/>
      <c r="L568" s="217"/>
      <c r="M568" s="217"/>
      <c r="N568" s="217"/>
    </row>
    <row r="569" spans="6:14">
      <c r="H569" s="217"/>
      <c r="I569" s="217"/>
      <c r="J569" s="217"/>
      <c r="K569" s="217"/>
      <c r="L569" s="217"/>
      <c r="M569" s="217"/>
      <c r="N569" s="217"/>
    </row>
    <row r="570" spans="6:14">
      <c r="H570" s="217"/>
      <c r="I570" s="217"/>
      <c r="J570" s="217"/>
      <c r="K570" s="217"/>
      <c r="L570" s="217"/>
      <c r="M570" s="217"/>
      <c r="N570" s="217"/>
    </row>
    <row r="571" spans="6:14">
      <c r="H571" s="217"/>
      <c r="I571" s="217"/>
      <c r="J571" s="217"/>
      <c r="K571" s="217"/>
      <c r="L571" s="217"/>
      <c r="M571" s="217"/>
      <c r="N571" s="217"/>
    </row>
    <row r="572" spans="6:14">
      <c r="H572" s="217"/>
      <c r="I572" s="217"/>
      <c r="J572" s="217"/>
      <c r="K572" s="217"/>
      <c r="L572" s="217"/>
      <c r="M572" s="217"/>
      <c r="N572" s="217"/>
    </row>
    <row r="573" spans="6:14">
      <c r="H573" s="217"/>
      <c r="I573" s="217"/>
      <c r="J573" s="217"/>
      <c r="K573" s="217"/>
      <c r="L573" s="217"/>
      <c r="M573" s="217"/>
      <c r="N573" s="217"/>
    </row>
    <row r="574" spans="6:14">
      <c r="H574" s="217"/>
      <c r="I574" s="217"/>
      <c r="J574" s="217"/>
      <c r="K574" s="217"/>
      <c r="L574" s="217"/>
      <c r="M574" s="217"/>
      <c r="N574" s="217"/>
    </row>
    <row r="575" spans="6:14">
      <c r="F575" s="217"/>
      <c r="H575" s="217"/>
      <c r="I575" s="217"/>
      <c r="J575" s="217"/>
      <c r="K575" s="217"/>
      <c r="L575" s="217"/>
      <c r="M575" s="217"/>
      <c r="N575" s="217"/>
    </row>
    <row r="576" spans="6:14">
      <c r="F576" s="217"/>
      <c r="H576" s="217"/>
      <c r="I576" s="217"/>
      <c r="J576" s="217"/>
      <c r="K576" s="217"/>
      <c r="L576" s="217"/>
      <c r="M576" s="217"/>
      <c r="N576" s="217"/>
    </row>
    <row r="577" spans="6:14">
      <c r="F577" s="217"/>
      <c r="H577" s="217"/>
      <c r="I577" s="217"/>
      <c r="J577" s="217"/>
      <c r="K577" s="217"/>
      <c r="L577" s="217"/>
      <c r="M577" s="217"/>
      <c r="N577" s="217"/>
    </row>
    <row r="578" spans="6:14">
      <c r="F578" s="217"/>
      <c r="H578" s="217"/>
      <c r="I578" s="217"/>
      <c r="J578" s="217"/>
      <c r="K578" s="217"/>
      <c r="L578" s="217"/>
      <c r="M578" s="217"/>
      <c r="N578" s="217"/>
    </row>
    <row r="579" spans="6:14">
      <c r="F579" s="217"/>
      <c r="H579" s="217"/>
      <c r="I579" s="217"/>
      <c r="J579" s="217"/>
      <c r="K579" s="217"/>
      <c r="L579" s="217"/>
      <c r="M579" s="217"/>
      <c r="N579" s="217"/>
    </row>
    <row r="580" spans="6:14">
      <c r="F580" s="217"/>
      <c r="H580" s="217"/>
      <c r="I580" s="217"/>
      <c r="J580" s="217"/>
      <c r="K580" s="217"/>
      <c r="L580" s="217"/>
      <c r="M580" s="217"/>
      <c r="N580" s="217"/>
    </row>
    <row r="581" spans="6:14">
      <c r="F581" s="217"/>
      <c r="H581" s="217"/>
      <c r="I581" s="217"/>
      <c r="J581" s="217"/>
      <c r="K581" s="217"/>
      <c r="L581" s="217"/>
      <c r="M581" s="217"/>
      <c r="N581" s="217"/>
    </row>
    <row r="582" spans="6:14">
      <c r="F582" s="217"/>
      <c r="H582" s="217"/>
      <c r="I582" s="217"/>
      <c r="J582" s="217"/>
      <c r="K582" s="217"/>
      <c r="L582" s="217"/>
      <c r="M582" s="217"/>
      <c r="N582" s="217"/>
    </row>
    <row r="583" spans="6:14">
      <c r="F583" s="217"/>
      <c r="H583" s="217"/>
      <c r="I583" s="217"/>
      <c r="J583" s="217"/>
      <c r="K583" s="217"/>
      <c r="L583" s="217"/>
      <c r="M583" s="217"/>
      <c r="N583" s="217"/>
    </row>
    <row r="584" spans="6:14">
      <c r="F584" s="217"/>
      <c r="H584" s="217"/>
      <c r="I584" s="217"/>
      <c r="J584" s="217"/>
      <c r="K584" s="217"/>
      <c r="L584" s="217"/>
      <c r="M584" s="217"/>
      <c r="N584" s="217"/>
    </row>
    <row r="585" spans="6:14">
      <c r="F585" s="217"/>
      <c r="H585" s="217"/>
      <c r="I585" s="217"/>
      <c r="J585" s="217"/>
      <c r="K585" s="217"/>
      <c r="L585" s="217"/>
      <c r="M585" s="217"/>
      <c r="N585" s="217"/>
    </row>
    <row r="586" spans="6:14">
      <c r="F586" s="217"/>
      <c r="H586" s="217"/>
      <c r="I586" s="217"/>
      <c r="J586" s="217"/>
      <c r="K586" s="217"/>
      <c r="L586" s="217"/>
      <c r="M586" s="217"/>
      <c r="N586" s="217"/>
    </row>
    <row r="587" spans="6:14">
      <c r="F587" s="217"/>
      <c r="H587" s="217"/>
      <c r="I587" s="217"/>
      <c r="J587" s="217"/>
      <c r="K587" s="217"/>
      <c r="L587" s="217"/>
      <c r="M587" s="217"/>
      <c r="N587" s="217"/>
    </row>
    <row r="588" spans="6:14">
      <c r="F588" s="217"/>
      <c r="H588" s="217"/>
      <c r="I588" s="217"/>
      <c r="J588" s="217"/>
      <c r="K588" s="217"/>
      <c r="L588" s="217"/>
      <c r="M588" s="217"/>
      <c r="N588" s="217"/>
    </row>
    <row r="589" spans="6:14">
      <c r="F589" s="217"/>
      <c r="H589" s="217"/>
      <c r="I589" s="217"/>
      <c r="J589" s="217"/>
      <c r="K589" s="217"/>
      <c r="L589" s="217"/>
      <c r="M589" s="217"/>
      <c r="N589" s="217"/>
    </row>
    <row r="590" spans="6:14">
      <c r="F590" s="217"/>
      <c r="H590" s="217"/>
      <c r="I590" s="217"/>
      <c r="J590" s="217"/>
      <c r="K590" s="217"/>
      <c r="L590" s="217"/>
      <c r="M590" s="217"/>
      <c r="N590" s="217"/>
    </row>
    <row r="591" spans="6:14">
      <c r="F591" s="217"/>
      <c r="H591" s="217"/>
      <c r="I591" s="217"/>
      <c r="J591" s="217"/>
      <c r="K591" s="217"/>
      <c r="L591" s="217"/>
      <c r="M591" s="217"/>
      <c r="N591" s="217"/>
    </row>
    <row r="592" spans="6:14">
      <c r="F592" s="217"/>
      <c r="H592" s="217"/>
      <c r="I592" s="217"/>
      <c r="J592" s="217"/>
      <c r="K592" s="217"/>
      <c r="L592" s="217"/>
      <c r="M592" s="217"/>
      <c r="N592" s="217"/>
    </row>
    <row r="593" spans="6:14">
      <c r="F593" s="217"/>
      <c r="H593" s="217"/>
      <c r="I593" s="217"/>
      <c r="J593" s="217"/>
      <c r="K593" s="217"/>
      <c r="L593" s="217"/>
      <c r="M593" s="217"/>
      <c r="N593" s="217"/>
    </row>
    <row r="594" spans="6:14">
      <c r="F594" s="217"/>
      <c r="H594" s="217"/>
      <c r="I594" s="217"/>
      <c r="J594" s="217"/>
      <c r="K594" s="217"/>
      <c r="L594" s="217"/>
      <c r="M594" s="217"/>
      <c r="N594" s="217"/>
    </row>
    <row r="595" spans="6:14">
      <c r="F595" s="217"/>
      <c r="H595" s="217"/>
      <c r="I595" s="217"/>
      <c r="J595" s="217"/>
      <c r="K595" s="217"/>
      <c r="L595" s="217"/>
      <c r="M595" s="217"/>
      <c r="N595" s="217"/>
    </row>
    <row r="596" spans="6:14">
      <c r="F596" s="217"/>
      <c r="H596" s="217"/>
      <c r="I596" s="217"/>
      <c r="J596" s="217"/>
      <c r="K596" s="217"/>
      <c r="L596" s="217"/>
      <c r="M596" s="217"/>
      <c r="N596" s="217"/>
    </row>
    <row r="597" spans="6:14">
      <c r="F597" s="217"/>
      <c r="H597" s="217"/>
      <c r="I597" s="217"/>
      <c r="J597" s="217"/>
      <c r="K597" s="217"/>
      <c r="L597" s="217"/>
      <c r="M597" s="217"/>
      <c r="N597" s="217"/>
    </row>
    <row r="598" spans="6:14">
      <c r="F598" s="217"/>
      <c r="H598" s="217"/>
      <c r="I598" s="217"/>
      <c r="J598" s="217"/>
      <c r="K598" s="217"/>
      <c r="L598" s="217"/>
      <c r="M598" s="217"/>
      <c r="N598" s="217"/>
    </row>
    <row r="599" spans="6:14">
      <c r="F599" s="217"/>
      <c r="H599" s="217"/>
      <c r="I599" s="217"/>
      <c r="J599" s="217"/>
      <c r="K599" s="217"/>
      <c r="L599" s="217"/>
      <c r="M599" s="217"/>
      <c r="N599" s="217"/>
    </row>
    <row r="600" spans="6:14">
      <c r="F600" s="217"/>
      <c r="H600" s="217"/>
      <c r="I600" s="217"/>
      <c r="J600" s="217"/>
      <c r="K600" s="217"/>
      <c r="L600" s="217"/>
      <c r="M600" s="217"/>
      <c r="N600" s="217"/>
    </row>
    <row r="601" spans="6:14">
      <c r="F601" s="217"/>
      <c r="H601" s="217"/>
      <c r="I601" s="217"/>
      <c r="J601" s="217"/>
      <c r="K601" s="217"/>
      <c r="L601" s="217"/>
      <c r="M601" s="217"/>
      <c r="N601" s="217"/>
    </row>
    <row r="602" spans="6:14">
      <c r="F602" s="217"/>
      <c r="H602" s="217"/>
      <c r="I602" s="217"/>
      <c r="J602" s="217"/>
      <c r="K602" s="217"/>
      <c r="L602" s="217"/>
      <c r="M602" s="217"/>
      <c r="N602" s="217"/>
    </row>
    <row r="603" spans="6:14">
      <c r="H603" s="217"/>
      <c r="I603" s="217"/>
      <c r="J603" s="217"/>
      <c r="K603" s="217"/>
      <c r="L603" s="217"/>
      <c r="M603" s="217"/>
      <c r="N603" s="217"/>
    </row>
    <row r="604" spans="6:14">
      <c r="H604" s="217"/>
      <c r="I604" s="217"/>
      <c r="J604" s="217"/>
      <c r="K604" s="217"/>
      <c r="L604" s="217"/>
      <c r="M604" s="217"/>
      <c r="N604" s="217"/>
    </row>
    <row r="605" spans="6:14">
      <c r="H605" s="217"/>
      <c r="I605" s="217"/>
      <c r="J605" s="217"/>
      <c r="K605" s="217"/>
      <c r="L605" s="217"/>
      <c r="M605" s="217"/>
      <c r="N605" s="217"/>
    </row>
    <row r="606" spans="6:14">
      <c r="H606" s="217"/>
      <c r="I606" s="217"/>
      <c r="J606" s="217"/>
      <c r="K606" s="217"/>
      <c r="L606" s="217"/>
      <c r="M606" s="217"/>
      <c r="N606" s="217"/>
    </row>
    <row r="607" spans="6:14">
      <c r="H607" s="217"/>
      <c r="I607" s="217"/>
      <c r="J607" s="217"/>
      <c r="K607" s="217"/>
      <c r="L607" s="217"/>
      <c r="M607" s="217"/>
      <c r="N607" s="217"/>
    </row>
    <row r="608" spans="6:14">
      <c r="H608" s="217"/>
      <c r="I608" s="217"/>
      <c r="J608" s="217"/>
      <c r="K608" s="217"/>
      <c r="L608" s="217"/>
      <c r="M608" s="217"/>
      <c r="N608" s="217"/>
    </row>
    <row r="609" spans="8:14">
      <c r="H609" s="217"/>
      <c r="I609" s="217"/>
      <c r="J609" s="217"/>
      <c r="K609" s="217"/>
      <c r="L609" s="217"/>
      <c r="M609" s="217"/>
      <c r="N609" s="217"/>
    </row>
    <row r="610" spans="8:14">
      <c r="H610" s="217"/>
      <c r="I610" s="217"/>
      <c r="J610" s="217"/>
      <c r="K610" s="217"/>
      <c r="L610" s="217"/>
      <c r="M610" s="217"/>
      <c r="N610" s="217"/>
    </row>
    <row r="611" spans="8:14">
      <c r="H611" s="217"/>
      <c r="I611" s="217"/>
      <c r="J611" s="217"/>
      <c r="K611" s="217"/>
      <c r="L611" s="217"/>
      <c r="M611" s="217"/>
      <c r="N611" s="217"/>
    </row>
    <row r="612" spans="8:14">
      <c r="H612" s="217"/>
      <c r="I612" s="217"/>
      <c r="J612" s="217"/>
      <c r="K612" s="217"/>
      <c r="L612" s="217"/>
      <c r="M612" s="217"/>
      <c r="N612" s="217"/>
    </row>
    <row r="613" spans="8:14">
      <c r="H613" s="217"/>
      <c r="I613" s="217"/>
      <c r="J613" s="217"/>
      <c r="K613" s="217"/>
      <c r="L613" s="217"/>
      <c r="M613" s="217"/>
      <c r="N613" s="217"/>
    </row>
    <row r="614" spans="8:14">
      <c r="H614" s="217"/>
      <c r="I614" s="217"/>
      <c r="J614" s="217"/>
      <c r="K614" s="217"/>
      <c r="L614" s="217"/>
      <c r="M614" s="217"/>
      <c r="N614" s="217"/>
    </row>
    <row r="615" spans="8:14">
      <c r="H615" s="217"/>
      <c r="I615" s="217"/>
      <c r="J615" s="217"/>
      <c r="K615" s="217"/>
      <c r="L615" s="217"/>
      <c r="M615" s="217"/>
      <c r="N615" s="217"/>
    </row>
    <row r="616" spans="8:14">
      <c r="H616" s="217"/>
      <c r="I616" s="217"/>
      <c r="J616" s="217"/>
      <c r="K616" s="217"/>
      <c r="L616" s="217"/>
      <c r="M616" s="217"/>
      <c r="N616" s="217"/>
    </row>
    <row r="617" spans="8:14">
      <c r="H617" s="217"/>
      <c r="I617" s="217"/>
      <c r="J617" s="217"/>
      <c r="K617" s="217"/>
      <c r="L617" s="217"/>
      <c r="M617" s="217"/>
      <c r="N617" s="217"/>
    </row>
    <row r="618" spans="8:14">
      <c r="H618" s="217"/>
      <c r="I618" s="217"/>
      <c r="J618" s="217"/>
      <c r="K618" s="217"/>
      <c r="L618" s="217"/>
      <c r="M618" s="217"/>
      <c r="N618" s="217"/>
    </row>
    <row r="619" spans="8:14">
      <c r="H619" s="217"/>
      <c r="I619" s="217"/>
      <c r="J619" s="217"/>
      <c r="K619" s="217"/>
      <c r="L619" s="217"/>
      <c r="M619" s="217"/>
      <c r="N619" s="217"/>
    </row>
    <row r="620" spans="8:14">
      <c r="H620" s="217"/>
      <c r="I620" s="217"/>
      <c r="J620" s="217"/>
      <c r="K620" s="217"/>
      <c r="L620" s="217"/>
      <c r="M620" s="217"/>
      <c r="N620" s="217"/>
    </row>
    <row r="621" spans="8:14">
      <c r="H621" s="217"/>
      <c r="I621" s="217"/>
      <c r="J621" s="217"/>
      <c r="K621" s="217"/>
      <c r="L621" s="217"/>
      <c r="M621" s="217"/>
      <c r="N621" s="217"/>
    </row>
    <row r="622" spans="8:14">
      <c r="H622" s="217"/>
      <c r="I622" s="217"/>
      <c r="J622" s="217"/>
      <c r="K622" s="217"/>
      <c r="L622" s="217"/>
      <c r="M622" s="217"/>
      <c r="N622" s="217"/>
    </row>
    <row r="623" spans="8:14">
      <c r="H623" s="217"/>
      <c r="I623" s="217"/>
      <c r="J623" s="217"/>
      <c r="K623" s="217"/>
      <c r="L623" s="217"/>
      <c r="M623" s="217"/>
      <c r="N623" s="217"/>
    </row>
    <row r="624" spans="8:14">
      <c r="H624" s="217"/>
      <c r="I624" s="217"/>
      <c r="J624" s="217"/>
      <c r="K624" s="217"/>
      <c r="L624" s="217"/>
      <c r="M624" s="217"/>
      <c r="N624" s="217"/>
    </row>
    <row r="625" spans="8:14">
      <c r="H625" s="217"/>
      <c r="I625" s="217"/>
      <c r="J625" s="217"/>
      <c r="K625" s="217"/>
      <c r="L625" s="217"/>
      <c r="M625" s="217"/>
      <c r="N625" s="217"/>
    </row>
    <row r="626" spans="8:14">
      <c r="H626" s="217"/>
      <c r="I626" s="217"/>
      <c r="J626" s="217"/>
      <c r="K626" s="217"/>
      <c r="L626" s="217"/>
      <c r="M626" s="217"/>
      <c r="N626" s="217"/>
    </row>
    <row r="627" spans="8:14">
      <c r="H627" s="217"/>
      <c r="I627" s="217"/>
      <c r="J627" s="217"/>
      <c r="K627" s="217"/>
      <c r="L627" s="217"/>
      <c r="M627" s="217"/>
      <c r="N627" s="217"/>
    </row>
    <row r="628" spans="8:14">
      <c r="H628" s="217"/>
      <c r="I628" s="217"/>
      <c r="J628" s="217"/>
      <c r="K628" s="217"/>
      <c r="L628" s="217"/>
      <c r="M628" s="217"/>
      <c r="N628" s="217"/>
    </row>
    <row r="629" spans="8:14">
      <c r="H629" s="217"/>
      <c r="I629" s="217"/>
      <c r="J629" s="217"/>
      <c r="K629" s="217"/>
      <c r="L629" s="217"/>
      <c r="M629" s="217"/>
      <c r="N629" s="217"/>
    </row>
    <row r="630" spans="8:14">
      <c r="H630" s="217"/>
      <c r="I630" s="217"/>
      <c r="J630" s="217"/>
      <c r="K630" s="217"/>
      <c r="L630" s="217"/>
      <c r="M630" s="217"/>
      <c r="N630" s="217"/>
    </row>
    <row r="631" spans="8:14">
      <c r="H631" s="217"/>
      <c r="I631" s="217"/>
      <c r="J631" s="217"/>
      <c r="K631" s="217"/>
      <c r="L631" s="217"/>
      <c r="M631" s="217"/>
      <c r="N631" s="217"/>
    </row>
    <row r="632" spans="8:14">
      <c r="H632" s="217"/>
      <c r="I632" s="217"/>
      <c r="J632" s="217"/>
      <c r="K632" s="217"/>
      <c r="L632" s="217"/>
      <c r="M632" s="217"/>
      <c r="N632" s="217"/>
    </row>
    <row r="633" spans="8:14">
      <c r="H633" s="217"/>
      <c r="I633" s="217"/>
      <c r="J633" s="217"/>
      <c r="K633" s="217"/>
      <c r="L633" s="217"/>
      <c r="M633" s="217"/>
      <c r="N633" s="217"/>
    </row>
    <row r="634" spans="8:14">
      <c r="H634" s="217"/>
      <c r="I634" s="217"/>
      <c r="J634" s="217"/>
      <c r="K634" s="217"/>
      <c r="L634" s="217"/>
      <c r="M634" s="217"/>
      <c r="N634" s="217"/>
    </row>
    <row r="635" spans="8:14">
      <c r="H635" s="217"/>
      <c r="I635" s="217"/>
      <c r="J635" s="217"/>
      <c r="K635" s="217"/>
      <c r="L635" s="217"/>
      <c r="M635" s="217"/>
      <c r="N635" s="217"/>
    </row>
    <row r="636" spans="8:14">
      <c r="H636" s="217"/>
      <c r="I636" s="217"/>
      <c r="J636" s="217"/>
      <c r="K636" s="217"/>
      <c r="L636" s="217"/>
      <c r="M636" s="217"/>
      <c r="N636" s="217"/>
    </row>
    <row r="637" spans="8:14">
      <c r="H637" s="217"/>
      <c r="I637" s="217"/>
      <c r="J637" s="217"/>
      <c r="K637" s="217"/>
      <c r="L637" s="217"/>
      <c r="M637" s="217"/>
      <c r="N637" s="217"/>
    </row>
    <row r="638" spans="8:14">
      <c r="H638" s="217"/>
      <c r="I638" s="217"/>
      <c r="J638" s="217"/>
      <c r="K638" s="217"/>
      <c r="L638" s="217"/>
      <c r="M638" s="217"/>
      <c r="N638" s="217"/>
    </row>
    <row r="639" spans="8:14">
      <c r="H639" s="217"/>
      <c r="I639" s="217"/>
      <c r="J639" s="217"/>
      <c r="K639" s="217"/>
      <c r="L639" s="217"/>
      <c r="M639" s="217"/>
      <c r="N639" s="217"/>
    </row>
    <row r="640" spans="8:14">
      <c r="H640" s="217"/>
      <c r="I640" s="217"/>
      <c r="J640" s="217"/>
      <c r="K640" s="217"/>
      <c r="L640" s="217"/>
      <c r="M640" s="217"/>
      <c r="N640" s="217"/>
    </row>
    <row r="641" spans="8:14">
      <c r="H641" s="217"/>
      <c r="I641" s="217"/>
      <c r="J641" s="217"/>
      <c r="K641" s="217"/>
      <c r="L641" s="217"/>
      <c r="M641" s="217"/>
      <c r="N641" s="217"/>
    </row>
    <row r="642" spans="8:14">
      <c r="H642" s="217"/>
      <c r="I642" s="217"/>
      <c r="J642" s="217"/>
      <c r="K642" s="217"/>
      <c r="L642" s="217"/>
      <c r="M642" s="217"/>
      <c r="N642" s="217"/>
    </row>
    <row r="643" spans="8:14">
      <c r="H643" s="217"/>
      <c r="I643" s="217"/>
      <c r="J643" s="217"/>
      <c r="K643" s="217"/>
      <c r="L643" s="217"/>
      <c r="M643" s="217"/>
      <c r="N643" s="217"/>
    </row>
    <row r="644" spans="8:14">
      <c r="H644" s="217"/>
      <c r="I644" s="217"/>
      <c r="J644" s="217"/>
      <c r="K644" s="217"/>
      <c r="L644" s="217"/>
      <c r="M644" s="217"/>
      <c r="N644" s="217"/>
    </row>
    <row r="645" spans="8:14">
      <c r="H645" s="217"/>
      <c r="I645" s="217"/>
      <c r="J645" s="217"/>
      <c r="K645" s="217"/>
      <c r="L645" s="217"/>
      <c r="M645" s="217"/>
      <c r="N645" s="217"/>
    </row>
    <row r="646" spans="8:14">
      <c r="H646" s="217"/>
      <c r="I646" s="217"/>
      <c r="J646" s="217"/>
      <c r="K646" s="217"/>
      <c r="L646" s="217"/>
      <c r="M646" s="217"/>
      <c r="N646" s="217"/>
    </row>
    <row r="647" spans="8:14">
      <c r="H647" s="217"/>
      <c r="I647" s="217"/>
      <c r="J647" s="217"/>
      <c r="K647" s="217"/>
      <c r="L647" s="217"/>
      <c r="M647" s="217"/>
      <c r="N647" s="217"/>
    </row>
    <row r="648" spans="8:14">
      <c r="H648" s="217"/>
      <c r="I648" s="217"/>
      <c r="J648" s="217"/>
      <c r="K648" s="217"/>
      <c r="L648" s="217"/>
      <c r="M648" s="217"/>
      <c r="N648" s="217"/>
    </row>
    <row r="649" spans="8:14">
      <c r="H649" s="217"/>
      <c r="I649" s="217"/>
      <c r="J649" s="217"/>
      <c r="K649" s="217"/>
      <c r="L649" s="217"/>
      <c r="M649" s="217"/>
      <c r="N649" s="217"/>
    </row>
    <row r="650" spans="8:14">
      <c r="H650" s="217"/>
      <c r="I650" s="217"/>
      <c r="J650" s="217"/>
      <c r="K650" s="217"/>
      <c r="L650" s="217"/>
      <c r="M650" s="217"/>
      <c r="N650" s="217"/>
    </row>
    <row r="651" spans="8:14">
      <c r="H651" s="217"/>
      <c r="I651" s="217"/>
      <c r="J651" s="217"/>
      <c r="K651" s="217"/>
      <c r="L651" s="217"/>
      <c r="M651" s="217"/>
      <c r="N651" s="217"/>
    </row>
    <row r="652" spans="8:14">
      <c r="H652" s="217"/>
      <c r="I652" s="217"/>
      <c r="J652" s="217"/>
      <c r="K652" s="217"/>
      <c r="L652" s="217"/>
      <c r="M652" s="217"/>
      <c r="N652" s="217"/>
    </row>
    <row r="653" spans="8:14">
      <c r="H653" s="217"/>
      <c r="I653" s="217"/>
      <c r="J653" s="217"/>
      <c r="K653" s="217"/>
      <c r="L653" s="217"/>
      <c r="M653" s="217"/>
      <c r="N653" s="217"/>
    </row>
    <row r="654" spans="8:14">
      <c r="H654" s="217"/>
      <c r="I654" s="217"/>
      <c r="J654" s="217"/>
      <c r="K654" s="217"/>
      <c r="L654" s="217"/>
      <c r="M654" s="217"/>
      <c r="N654" s="217"/>
    </row>
    <row r="655" spans="8:14">
      <c r="H655" s="217"/>
      <c r="I655" s="217"/>
      <c r="J655" s="217"/>
      <c r="K655" s="217"/>
      <c r="L655" s="217"/>
      <c r="M655" s="217"/>
      <c r="N655" s="217"/>
    </row>
    <row r="656" spans="8:14">
      <c r="H656" s="217"/>
      <c r="I656" s="217"/>
      <c r="J656" s="217"/>
      <c r="K656" s="217"/>
      <c r="L656" s="217"/>
      <c r="M656" s="217"/>
      <c r="N656" s="217"/>
    </row>
    <row r="657" spans="8:14">
      <c r="H657" s="217"/>
      <c r="I657" s="217"/>
      <c r="J657" s="217"/>
      <c r="K657" s="217"/>
      <c r="L657" s="217"/>
      <c r="M657" s="217"/>
      <c r="N657" s="217"/>
    </row>
    <row r="658" spans="8:14">
      <c r="H658" s="217"/>
      <c r="I658" s="217"/>
      <c r="J658" s="217"/>
      <c r="K658" s="217"/>
      <c r="L658" s="217"/>
      <c r="M658" s="217"/>
      <c r="N658" s="217"/>
    </row>
    <row r="659" spans="8:14">
      <c r="H659" s="217"/>
      <c r="I659" s="217"/>
      <c r="J659" s="217"/>
      <c r="K659" s="217"/>
      <c r="L659" s="217"/>
      <c r="M659" s="217"/>
      <c r="N659" s="217"/>
    </row>
    <row r="660" spans="8:14">
      <c r="H660" s="217"/>
      <c r="I660" s="217"/>
      <c r="J660" s="217"/>
      <c r="K660" s="217"/>
      <c r="L660" s="217"/>
      <c r="M660" s="217"/>
      <c r="N660" s="217"/>
    </row>
    <row r="661" spans="8:14">
      <c r="H661" s="217"/>
      <c r="I661" s="217"/>
      <c r="J661" s="217"/>
      <c r="K661" s="217"/>
      <c r="L661" s="217"/>
      <c r="M661" s="217"/>
      <c r="N661" s="217"/>
    </row>
    <row r="662" spans="8:14">
      <c r="H662" s="217"/>
      <c r="I662" s="217"/>
      <c r="J662" s="217"/>
      <c r="K662" s="217"/>
      <c r="L662" s="217"/>
      <c r="M662" s="217"/>
      <c r="N662" s="217"/>
    </row>
    <row r="663" spans="8:14">
      <c r="H663" s="213"/>
      <c r="I663" s="213"/>
      <c r="J663" s="213"/>
      <c r="K663" s="213"/>
      <c r="L663" s="213"/>
      <c r="M663" s="213"/>
      <c r="N663" s="213"/>
    </row>
    <row r="664" spans="8:14">
      <c r="H664" s="213"/>
      <c r="I664" s="213"/>
      <c r="J664" s="213"/>
      <c r="K664" s="213"/>
      <c r="L664" s="213"/>
      <c r="M664" s="213"/>
      <c r="N664" s="213"/>
    </row>
    <row r="665" spans="8:14">
      <c r="H665" s="213"/>
      <c r="I665" s="213"/>
      <c r="J665" s="213"/>
      <c r="K665" s="213"/>
      <c r="L665" s="213"/>
      <c r="M665" s="213"/>
      <c r="N665" s="213"/>
    </row>
    <row r="666" spans="8:14">
      <c r="H666" s="213"/>
      <c r="I666" s="213"/>
      <c r="J666" s="213"/>
      <c r="K666" s="213"/>
      <c r="L666" s="213"/>
      <c r="M666" s="213"/>
      <c r="N666" s="213"/>
    </row>
    <row r="667" spans="8:14">
      <c r="H667" s="213"/>
      <c r="I667" s="213"/>
      <c r="J667" s="213"/>
      <c r="K667" s="213"/>
      <c r="L667" s="213"/>
      <c r="M667" s="213"/>
      <c r="N667" s="213"/>
    </row>
    <row r="668" spans="8:14">
      <c r="H668" s="213"/>
      <c r="I668" s="213"/>
      <c r="J668" s="213"/>
      <c r="K668" s="213"/>
      <c r="L668" s="213"/>
      <c r="M668" s="213"/>
      <c r="N668" s="213"/>
    </row>
    <row r="669" spans="8:14">
      <c r="H669" s="213"/>
      <c r="I669" s="213"/>
      <c r="J669" s="213"/>
      <c r="K669" s="213"/>
      <c r="L669" s="213"/>
      <c r="M669" s="213"/>
      <c r="N669" s="213"/>
    </row>
    <row r="670" spans="8:14">
      <c r="H670" s="213"/>
      <c r="I670" s="213"/>
      <c r="J670" s="213"/>
      <c r="K670" s="213"/>
      <c r="L670" s="213"/>
      <c r="M670" s="213"/>
      <c r="N670" s="213"/>
    </row>
    <row r="671" spans="8:14">
      <c r="H671" s="213"/>
      <c r="I671" s="213"/>
      <c r="J671" s="213"/>
      <c r="K671" s="213"/>
      <c r="L671" s="213"/>
      <c r="M671" s="213"/>
      <c r="N671" s="213"/>
    </row>
    <row r="672" spans="8:14">
      <c r="H672" s="213"/>
      <c r="I672" s="213"/>
      <c r="J672" s="213"/>
      <c r="K672" s="213"/>
      <c r="L672" s="213"/>
      <c r="M672" s="213"/>
      <c r="N672" s="213"/>
    </row>
    <row r="673" spans="8:14">
      <c r="H673" s="213"/>
      <c r="I673" s="213"/>
      <c r="J673" s="213"/>
      <c r="K673" s="213"/>
      <c r="L673" s="213"/>
      <c r="M673" s="213"/>
      <c r="N673" s="213"/>
    </row>
    <row r="674" spans="8:14">
      <c r="H674" s="213"/>
      <c r="I674" s="213"/>
      <c r="J674" s="213"/>
      <c r="K674" s="213"/>
      <c r="L674" s="213"/>
      <c r="M674" s="213"/>
      <c r="N674" s="213"/>
    </row>
    <row r="675" spans="8:14">
      <c r="H675" s="213"/>
      <c r="I675" s="213"/>
      <c r="J675" s="213"/>
      <c r="K675" s="213"/>
      <c r="L675" s="213"/>
      <c r="M675" s="213"/>
      <c r="N675" s="213"/>
    </row>
    <row r="676" spans="8:14">
      <c r="H676" s="213"/>
      <c r="I676" s="213"/>
      <c r="J676" s="213"/>
      <c r="K676" s="213"/>
      <c r="L676" s="213"/>
      <c r="M676" s="213"/>
      <c r="N676" s="213"/>
    </row>
    <row r="677" spans="8:14">
      <c r="H677" s="213"/>
      <c r="I677" s="213"/>
      <c r="J677" s="213"/>
      <c r="K677" s="213"/>
      <c r="L677" s="213"/>
      <c r="M677" s="213"/>
      <c r="N677" s="213"/>
    </row>
    <row r="678" spans="8:14">
      <c r="H678" s="213"/>
      <c r="I678" s="213"/>
      <c r="J678" s="213"/>
      <c r="K678" s="213"/>
      <c r="L678" s="213"/>
      <c r="M678" s="213"/>
      <c r="N678" s="213"/>
    </row>
    <row r="679" spans="8:14">
      <c r="H679" s="213"/>
      <c r="I679" s="213"/>
      <c r="J679" s="213"/>
      <c r="K679" s="213"/>
      <c r="L679" s="213"/>
      <c r="M679" s="213"/>
      <c r="N679" s="213"/>
    </row>
    <row r="680" spans="8:14">
      <c r="H680" s="213"/>
      <c r="I680" s="213"/>
      <c r="J680" s="213"/>
      <c r="K680" s="213"/>
      <c r="L680" s="213"/>
      <c r="M680" s="213"/>
      <c r="N680" s="213"/>
    </row>
    <row r="681" spans="8:14">
      <c r="H681" s="213"/>
      <c r="I681" s="213"/>
      <c r="J681" s="213"/>
      <c r="K681" s="213"/>
      <c r="L681" s="213"/>
      <c r="M681" s="213"/>
      <c r="N681" s="213"/>
    </row>
    <row r="682" spans="8:14">
      <c r="H682" s="213"/>
      <c r="I682" s="213"/>
      <c r="J682" s="213"/>
      <c r="K682" s="213"/>
      <c r="L682" s="213"/>
      <c r="M682" s="213"/>
      <c r="N682" s="213"/>
    </row>
    <row r="683" spans="8:14">
      <c r="H683" s="213"/>
      <c r="I683" s="213"/>
      <c r="J683" s="213"/>
      <c r="K683" s="213"/>
      <c r="L683" s="213"/>
      <c r="M683" s="213"/>
      <c r="N683" s="213"/>
    </row>
    <row r="684" spans="8:14">
      <c r="H684" s="213"/>
      <c r="I684" s="213"/>
      <c r="J684" s="213"/>
      <c r="K684" s="213"/>
      <c r="L684" s="213"/>
      <c r="M684" s="213"/>
      <c r="N684" s="213"/>
    </row>
    <row r="685" spans="8:14">
      <c r="H685" s="213"/>
      <c r="I685" s="213"/>
      <c r="J685" s="213"/>
      <c r="K685" s="213"/>
      <c r="L685" s="213"/>
      <c r="M685" s="213"/>
      <c r="N685" s="213"/>
    </row>
    <row r="686" spans="8:14">
      <c r="H686" s="213"/>
      <c r="I686" s="213"/>
      <c r="J686" s="213"/>
      <c r="K686" s="213"/>
      <c r="L686" s="213"/>
      <c r="M686" s="213"/>
      <c r="N686" s="213"/>
    </row>
    <row r="687" spans="8:14">
      <c r="H687" s="213"/>
      <c r="I687" s="213"/>
      <c r="J687" s="213"/>
      <c r="K687" s="213"/>
      <c r="L687" s="213"/>
      <c r="M687" s="213"/>
      <c r="N687" s="213"/>
    </row>
    <row r="688" spans="8:14">
      <c r="H688" s="213"/>
      <c r="I688" s="213"/>
      <c r="J688" s="213"/>
      <c r="K688" s="213"/>
      <c r="L688" s="213"/>
      <c r="M688" s="213"/>
      <c r="N688" s="213"/>
    </row>
    <row r="689" spans="8:14">
      <c r="H689" s="213"/>
      <c r="I689" s="213"/>
      <c r="J689" s="213"/>
      <c r="K689" s="213"/>
      <c r="L689" s="213"/>
      <c r="M689" s="213"/>
      <c r="N689" s="213"/>
    </row>
    <row r="690" spans="8:14">
      <c r="H690" s="213"/>
      <c r="I690" s="213"/>
      <c r="J690" s="213"/>
      <c r="K690" s="213"/>
      <c r="L690" s="213"/>
      <c r="M690" s="213"/>
      <c r="N690" s="213"/>
    </row>
    <row r="691" spans="8:14">
      <c r="H691" s="213"/>
      <c r="I691" s="213"/>
      <c r="J691" s="213"/>
      <c r="K691" s="213"/>
      <c r="L691" s="213"/>
      <c r="M691" s="213"/>
      <c r="N691" s="213"/>
    </row>
    <row r="692" spans="8:14">
      <c r="H692" s="213"/>
      <c r="I692" s="213"/>
      <c r="J692" s="213"/>
      <c r="K692" s="213"/>
      <c r="L692" s="213"/>
      <c r="M692" s="213"/>
      <c r="N692" s="213"/>
    </row>
    <row r="693" spans="8:14">
      <c r="H693" s="213"/>
      <c r="I693" s="213"/>
      <c r="J693" s="213"/>
      <c r="K693" s="213"/>
      <c r="L693" s="213"/>
      <c r="M693" s="213"/>
      <c r="N693" s="213"/>
    </row>
    <row r="694" spans="8:14">
      <c r="H694" s="213"/>
      <c r="I694" s="213"/>
      <c r="J694" s="213"/>
      <c r="K694" s="213"/>
      <c r="L694" s="213"/>
      <c r="M694" s="213"/>
      <c r="N694" s="213"/>
    </row>
    <row r="695" spans="8:14">
      <c r="H695" s="213"/>
      <c r="I695" s="213"/>
      <c r="J695" s="213"/>
      <c r="K695" s="213"/>
      <c r="L695" s="213"/>
      <c r="M695" s="213"/>
      <c r="N695" s="213"/>
    </row>
    <row r="696" spans="8:14">
      <c r="H696" s="213"/>
      <c r="I696" s="213"/>
      <c r="J696" s="213"/>
      <c r="K696" s="213"/>
      <c r="L696" s="213"/>
      <c r="M696" s="213"/>
      <c r="N696" s="213"/>
    </row>
    <row r="697" spans="8:14">
      <c r="H697" s="213"/>
      <c r="I697" s="213"/>
      <c r="J697" s="213"/>
      <c r="K697" s="213"/>
      <c r="L697" s="213"/>
      <c r="M697" s="213"/>
      <c r="N697" s="213"/>
    </row>
    <row r="698" spans="8:14">
      <c r="H698" s="213"/>
      <c r="I698" s="213"/>
      <c r="J698" s="213"/>
      <c r="K698" s="213"/>
      <c r="L698" s="213"/>
      <c r="M698" s="213"/>
      <c r="N698" s="213"/>
    </row>
    <row r="699" spans="8:14">
      <c r="H699" s="213"/>
      <c r="I699" s="213"/>
      <c r="J699" s="213"/>
      <c r="K699" s="213"/>
      <c r="L699" s="213"/>
      <c r="M699" s="213"/>
      <c r="N699" s="213"/>
    </row>
    <row r="700" spans="8:14">
      <c r="H700" s="213"/>
      <c r="I700" s="213"/>
      <c r="J700" s="213"/>
      <c r="K700" s="213"/>
      <c r="L700" s="213"/>
      <c r="M700" s="213"/>
      <c r="N700" s="213"/>
    </row>
    <row r="701" spans="8:14">
      <c r="H701" s="213"/>
      <c r="I701" s="213"/>
      <c r="J701" s="213"/>
      <c r="K701" s="213"/>
      <c r="L701" s="213"/>
      <c r="M701" s="213"/>
      <c r="N701" s="213"/>
    </row>
    <row r="702" spans="8:14">
      <c r="H702" s="213"/>
      <c r="I702" s="213"/>
      <c r="J702" s="213"/>
      <c r="K702" s="213"/>
      <c r="L702" s="213"/>
      <c r="M702" s="213"/>
      <c r="N702" s="213"/>
    </row>
    <row r="703" spans="8:14">
      <c r="H703" s="213"/>
      <c r="I703" s="213"/>
      <c r="J703" s="213"/>
      <c r="K703" s="213"/>
      <c r="L703" s="213"/>
      <c r="M703" s="213"/>
      <c r="N703" s="213"/>
    </row>
    <row r="704" spans="8:14">
      <c r="H704" s="213"/>
      <c r="I704" s="213"/>
      <c r="J704" s="213"/>
      <c r="K704" s="213"/>
      <c r="L704" s="213"/>
      <c r="M704" s="213"/>
      <c r="N704" s="213"/>
    </row>
    <row r="705" spans="8:14">
      <c r="H705" s="213"/>
      <c r="I705" s="213"/>
      <c r="J705" s="213"/>
      <c r="K705" s="213"/>
      <c r="L705" s="213"/>
      <c r="M705" s="213"/>
      <c r="N705" s="213"/>
    </row>
    <row r="706" spans="8:14">
      <c r="H706" s="213"/>
      <c r="I706" s="213"/>
      <c r="J706" s="213"/>
      <c r="K706" s="213"/>
      <c r="L706" s="213"/>
      <c r="M706" s="213"/>
      <c r="N706" s="213"/>
    </row>
    <row r="707" spans="8:14">
      <c r="H707" s="213"/>
      <c r="I707" s="213"/>
      <c r="J707" s="213"/>
      <c r="K707" s="213"/>
      <c r="L707" s="213"/>
      <c r="M707" s="213"/>
      <c r="N707" s="213"/>
    </row>
    <row r="708" spans="8:14">
      <c r="H708" s="213"/>
      <c r="I708" s="213"/>
      <c r="J708" s="213"/>
      <c r="K708" s="213"/>
      <c r="L708" s="213"/>
      <c r="M708" s="213"/>
      <c r="N708" s="213"/>
    </row>
    <row r="709" spans="8:14">
      <c r="H709" s="213"/>
      <c r="I709" s="213"/>
      <c r="J709" s="213"/>
      <c r="K709" s="213"/>
      <c r="L709" s="213"/>
      <c r="M709" s="213"/>
      <c r="N709" s="213"/>
    </row>
    <row r="710" spans="8:14">
      <c r="H710" s="213"/>
      <c r="I710" s="213"/>
      <c r="J710" s="213"/>
      <c r="K710" s="213"/>
      <c r="L710" s="213"/>
      <c r="M710" s="213"/>
      <c r="N710" s="213"/>
    </row>
    <row r="711" spans="8:14">
      <c r="H711" s="213"/>
      <c r="I711" s="213"/>
      <c r="J711" s="213"/>
      <c r="K711" s="213"/>
      <c r="L711" s="213"/>
      <c r="M711" s="213"/>
      <c r="N711" s="213"/>
    </row>
    <row r="712" spans="8:14">
      <c r="H712" s="213"/>
      <c r="I712" s="213"/>
      <c r="J712" s="213"/>
      <c r="K712" s="213"/>
      <c r="L712" s="213"/>
      <c r="M712" s="213"/>
      <c r="N712" s="213"/>
    </row>
    <row r="713" spans="8:14">
      <c r="H713" s="213"/>
      <c r="I713" s="213"/>
      <c r="J713" s="213"/>
      <c r="K713" s="213"/>
      <c r="L713" s="213"/>
      <c r="M713" s="213"/>
      <c r="N713" s="213"/>
    </row>
    <row r="714" spans="8:14">
      <c r="H714" s="213"/>
      <c r="I714" s="213"/>
      <c r="J714" s="213"/>
      <c r="K714" s="213"/>
      <c r="L714" s="213"/>
      <c r="M714" s="213"/>
      <c r="N714" s="213"/>
    </row>
    <row r="715" spans="8:14">
      <c r="H715" s="213"/>
      <c r="I715" s="213"/>
      <c r="J715" s="213"/>
      <c r="K715" s="213"/>
      <c r="L715" s="213"/>
      <c r="M715" s="213"/>
      <c r="N715" s="213"/>
    </row>
    <row r="716" spans="8:14">
      <c r="H716" s="213"/>
      <c r="I716" s="213"/>
      <c r="J716" s="213"/>
      <c r="K716" s="213"/>
      <c r="L716" s="213"/>
      <c r="M716" s="213"/>
      <c r="N716" s="213"/>
    </row>
    <row r="717" spans="8:14">
      <c r="H717" s="213"/>
      <c r="I717" s="213"/>
      <c r="J717" s="213"/>
      <c r="K717" s="213"/>
      <c r="L717" s="213"/>
      <c r="M717" s="213"/>
      <c r="N717" s="213"/>
    </row>
    <row r="718" spans="8:14">
      <c r="H718" s="213"/>
      <c r="I718" s="213"/>
      <c r="J718" s="213"/>
      <c r="K718" s="213"/>
      <c r="L718" s="213"/>
      <c r="M718" s="213"/>
      <c r="N718" s="213"/>
    </row>
    <row r="719" spans="8:14">
      <c r="H719" s="213"/>
      <c r="I719" s="213"/>
      <c r="J719" s="213"/>
      <c r="K719" s="213"/>
      <c r="L719" s="213"/>
      <c r="M719" s="213"/>
      <c r="N719" s="213"/>
    </row>
    <row r="720" spans="8:14">
      <c r="H720" s="213"/>
      <c r="I720" s="213"/>
      <c r="J720" s="213"/>
      <c r="K720" s="213"/>
      <c r="L720" s="213"/>
      <c r="M720" s="213"/>
      <c r="N720" s="213"/>
    </row>
    <row r="721" spans="2:2">
      <c r="B721" s="218"/>
    </row>
    <row r="723" spans="2:2">
      <c r="B723" s="218"/>
    </row>
    <row r="725" spans="2:2">
      <c r="B725" s="218"/>
    </row>
  </sheetData>
  <autoFilter xmlns:etc="http://www.wps.cn/officeDocument/2017/etCustomData" ref="A2:N30" etc:filterBottomFollowUsedRange="0">
    <extLst/>
  </autoFilter>
  <sortState ref="A3:O32">
    <sortCondition ref="A3:A32"/>
  </sortState>
  <mergeCells count="1">
    <mergeCell ref="E1:O1"/>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T792"/>
  <sheetViews>
    <sheetView zoomScale="80" zoomScaleNormal="80" workbookViewId="0">
      <pane ySplit="2" topLeftCell="A238" activePane="bottomLeft" state="frozen"/>
      <selection/>
      <selection pane="bottomLeft" activeCell="A85" sqref="A85"/>
    </sheetView>
  </sheetViews>
  <sheetFormatPr defaultColWidth="11.4454545454545" defaultRowHeight="12.5"/>
  <cols>
    <col min="1" max="1" width="16.8909090909091" style="191" customWidth="1"/>
    <col min="2" max="3" width="11.7818181818182" style="188" customWidth="1"/>
    <col min="4" max="4" width="22.5545454545455" style="188" customWidth="1"/>
    <col min="5" max="5" width="18.5545454545455" style="188" customWidth="1"/>
    <col min="6" max="6" width="45.1181818181818" style="188" customWidth="1"/>
    <col min="7" max="7" width="18.5545454545455" style="196" customWidth="1"/>
    <col min="8" max="8" width="58.8909090909091" style="197" customWidth="1"/>
    <col min="9" max="9" width="40.6636363636364" style="188" customWidth="1"/>
    <col min="10" max="10" width="11.7818181818182" style="188" customWidth="1"/>
    <col min="11" max="11" width="18.7818181818182" style="188" customWidth="1"/>
    <col min="12" max="12" width="21.4454545454545" style="188" customWidth="1"/>
    <col min="13" max="13" width="18.4454545454545" style="191" customWidth="1"/>
    <col min="14" max="16" width="16.4454545454545" style="191" customWidth="1"/>
    <col min="17" max="17" width="51.2181818181818" style="191" customWidth="1"/>
    <col min="18" max="18" width="18.7818181818182" style="191" customWidth="1"/>
    <col min="19" max="19" width="13.8909090909091" style="198" customWidth="1"/>
    <col min="20" max="20" width="17.1090909090909" style="198" customWidth="1"/>
    <col min="21" max="38" width="11.2181818181818" customWidth="1"/>
    <col min="39" max="39" width="12.7818181818182" customWidth="1"/>
  </cols>
  <sheetData>
    <row r="1" ht="42.45" customHeight="1" spans="1:20">
      <c r="I1" s="199" t="s">
        <v>99</v>
      </c>
      <c r="J1" s="199"/>
      <c r="K1" s="199"/>
      <c r="L1" s="199"/>
      <c r="M1" s="199"/>
      <c r="N1" s="199"/>
      <c r="O1" s="199"/>
      <c r="P1" s="199"/>
      <c r="Q1" s="199"/>
      <c r="R1" s="199"/>
      <c r="S1" s="199"/>
      <c r="T1" s="199"/>
    </row>
    <row r="2" s="195" customFormat="1" ht="34.5" customHeight="1" spans="1:20">
      <c r="A2" s="200" t="s">
        <v>100</v>
      </c>
      <c r="B2" s="200" t="s">
        <v>101</v>
      </c>
      <c r="C2" s="200" t="s">
        <v>142</v>
      </c>
      <c r="D2" s="200" t="s">
        <v>143</v>
      </c>
      <c r="E2" s="200" t="s">
        <v>144</v>
      </c>
      <c r="F2" s="200" t="s">
        <v>145</v>
      </c>
      <c r="G2" s="201" t="s">
        <v>103</v>
      </c>
      <c r="H2" s="202" t="s">
        <v>146</v>
      </c>
      <c r="I2" s="203" t="s">
        <v>104</v>
      </c>
      <c r="J2" s="203" t="s">
        <v>105</v>
      </c>
      <c r="K2" s="203" t="s">
        <v>147</v>
      </c>
      <c r="L2" s="203" t="s">
        <v>148</v>
      </c>
      <c r="M2" s="203" t="s">
        <v>107</v>
      </c>
      <c r="N2" s="203" t="s">
        <v>108</v>
      </c>
      <c r="O2" s="203" t="s">
        <v>109</v>
      </c>
      <c r="P2" s="203" t="s">
        <v>110</v>
      </c>
      <c r="Q2" s="203" t="s">
        <v>111</v>
      </c>
      <c r="R2" s="203" t="s">
        <v>112</v>
      </c>
      <c r="S2" s="204" t="s">
        <v>113</v>
      </c>
      <c r="T2" s="204" t="s">
        <v>114</v>
      </c>
    </row>
    <row r="3" ht="13" spans="1:20">
      <c r="A3" s="205" t="str">
        <f>+_xlfn.XLOOKUP(B3,Tabla22[Lote],Tabla22[País],"",0)</f>
        <v>Chile</v>
      </c>
      <c r="B3" s="188" t="s">
        <v>40</v>
      </c>
      <c r="C3" s="198" t="str">
        <f>+_xlfn.XLOOKUP(B3,Datos!A:A,Datos!C:C,"",0)</f>
        <v>GI</v>
      </c>
      <c r="D3" s="188">
        <v>0.81</v>
      </c>
      <c r="E3" s="188">
        <v>1220</v>
      </c>
      <c r="F3" s="188" t="s">
        <v>149</v>
      </c>
      <c r="G3" s="206">
        <v>2387.32084879561</v>
      </c>
      <c r="H3" s="197" t="s">
        <v>150</v>
      </c>
      <c r="M3" s="188"/>
      <c r="S3" s="205"/>
      <c r="T3" s="205"/>
    </row>
    <row r="4" ht="13" spans="1:20">
      <c r="A4" s="205" t="str">
        <f>+_xlfn.XLOOKUP(B4,Tabla22[Lote],Tabla22[País],"",0)</f>
        <v>Chile</v>
      </c>
      <c r="B4" s="188" t="s">
        <v>40</v>
      </c>
      <c r="C4" s="198" t="str">
        <f>+_xlfn.XLOOKUP(B4,Datos!A:A,Datos!C:C,"",0)</f>
        <v>GI</v>
      </c>
      <c r="D4" s="188">
        <v>0.45</v>
      </c>
      <c r="E4" s="188">
        <v>1220</v>
      </c>
      <c r="F4" s="188" t="s">
        <v>151</v>
      </c>
      <c r="G4" s="206">
        <v>828.754305872932</v>
      </c>
      <c r="H4" s="197" t="s">
        <v>150</v>
      </c>
      <c r="M4" s="188"/>
      <c r="S4" s="205"/>
      <c r="T4" s="205"/>
    </row>
    <row r="5" ht="13" spans="1:20">
      <c r="A5" s="205" t="str">
        <f>+_xlfn.XLOOKUP(B5,Tabla22[Lote],Tabla22[País],"",0)</f>
        <v>Chile</v>
      </c>
      <c r="B5" s="188" t="s">
        <v>40</v>
      </c>
      <c r="C5" s="198" t="str">
        <f>+_xlfn.XLOOKUP(B5,Datos!A:A,Datos!C:C,"",0)</f>
        <v>GI</v>
      </c>
      <c r="D5" s="188">
        <v>0.95</v>
      </c>
      <c r="E5" s="188">
        <v>1220</v>
      </c>
      <c r="F5" s="188" t="s">
        <v>149</v>
      </c>
      <c r="G5" s="206">
        <v>83.6605486211859</v>
      </c>
      <c r="H5" s="197" t="s">
        <v>150</v>
      </c>
      <c r="M5" s="188"/>
      <c r="S5" s="205"/>
      <c r="T5" s="205"/>
    </row>
    <row r="6" ht="13" spans="1:20">
      <c r="A6" s="205" t="str">
        <f>+_xlfn.XLOOKUP(B6,Tabla22[Lote],Tabla22[País],"",0)</f>
        <v>Chile</v>
      </c>
      <c r="B6" s="188" t="s">
        <v>40</v>
      </c>
      <c r="C6" s="198" t="str">
        <f>+_xlfn.XLOOKUP(B6,Datos!A:A,Datos!C:C,"",0)</f>
        <v>GI</v>
      </c>
      <c r="D6" s="188">
        <v>1.5</v>
      </c>
      <c r="E6" s="188">
        <v>1220</v>
      </c>
      <c r="F6" s="188" t="s">
        <v>149</v>
      </c>
      <c r="G6" s="206">
        <v>190.921841664144</v>
      </c>
      <c r="H6" s="197" t="s">
        <v>150</v>
      </c>
      <c r="M6" s="188"/>
      <c r="S6" s="205"/>
      <c r="T6" s="205"/>
    </row>
    <row r="7" ht="13" spans="1:20">
      <c r="A7" s="205" t="str">
        <f>+_xlfn.XLOOKUP(B7,Tabla22[Lote],Tabla22[País],"",0)</f>
        <v>Chile</v>
      </c>
      <c r="B7" s="188" t="s">
        <v>40</v>
      </c>
      <c r="C7" s="198" t="str">
        <f>+_xlfn.XLOOKUP(B7,Datos!A:A,Datos!C:C,"",0)</f>
        <v>GI</v>
      </c>
      <c r="D7" s="188">
        <v>0.38</v>
      </c>
      <c r="E7" s="188">
        <v>1220</v>
      </c>
      <c r="F7" s="188" t="s">
        <v>151</v>
      </c>
      <c r="G7" s="206">
        <v>35.4218149038277</v>
      </c>
      <c r="H7" s="197" t="s">
        <v>152</v>
      </c>
      <c r="M7" s="188"/>
      <c r="S7" s="205"/>
      <c r="T7" s="205"/>
    </row>
    <row r="8" ht="13" spans="1:20">
      <c r="A8" s="205" t="str">
        <f>+_xlfn.XLOOKUP(B8,Tabla22[Lote],Tabla22[País],"",0)</f>
        <v>Chile</v>
      </c>
      <c r="B8" s="188" t="s">
        <v>55</v>
      </c>
      <c r="C8" s="198" t="str">
        <f>+_xlfn.XLOOKUP(B8,Datos!A:A,Datos!C:C,"",0)</f>
        <v>HRC</v>
      </c>
      <c r="D8" s="188">
        <v>1.82</v>
      </c>
      <c r="E8" s="188">
        <v>1200</v>
      </c>
      <c r="G8" s="206">
        <v>876</v>
      </c>
      <c r="H8" s="197" t="s">
        <v>153</v>
      </c>
      <c r="M8" s="188"/>
      <c r="S8" s="205"/>
      <c r="T8" s="205"/>
    </row>
    <row r="9" ht="13" spans="1:20">
      <c r="A9" s="205" t="str">
        <f>+_xlfn.XLOOKUP(B9,Tabla22[Lote],Tabla22[País],"",0)</f>
        <v>Chile</v>
      </c>
      <c r="B9" s="188" t="s">
        <v>55</v>
      </c>
      <c r="C9" s="198" t="str">
        <f>+_xlfn.XLOOKUP(B9,Datos!A:A,Datos!C:C,"",0)</f>
        <v>HRC</v>
      </c>
      <c r="D9" s="188">
        <v>3.65</v>
      </c>
      <c r="E9" s="188">
        <v>1500</v>
      </c>
      <c r="G9" s="206">
        <v>177.630103548378</v>
      </c>
      <c r="H9" s="197" t="s">
        <v>154</v>
      </c>
      <c r="M9" s="188"/>
      <c r="S9" s="205"/>
      <c r="T9" s="205"/>
    </row>
    <row r="10" ht="13" spans="1:20">
      <c r="A10" s="205" t="str">
        <f>+_xlfn.XLOOKUP(B10,Tabla22[Lote],Tabla22[País],"",0)</f>
        <v>Chile</v>
      </c>
      <c r="B10" s="188" t="s">
        <v>55</v>
      </c>
      <c r="C10" s="198" t="str">
        <f>+_xlfn.XLOOKUP(B10,Datos!A:A,Datos!C:C,"",0)</f>
        <v>HRC</v>
      </c>
      <c r="D10" s="188">
        <v>2.72</v>
      </c>
      <c r="E10" s="188">
        <v>1200</v>
      </c>
      <c r="G10" s="206">
        <v>446</v>
      </c>
      <c r="H10" s="197" t="s">
        <v>155</v>
      </c>
      <c r="M10" s="188"/>
      <c r="S10" s="205"/>
      <c r="T10" s="205"/>
    </row>
    <row r="11" ht="13" spans="1:20">
      <c r="A11" s="205" t="str">
        <f>+_xlfn.XLOOKUP(B11,Tabla22[Lote],Tabla22[País],"",0)</f>
        <v>Chile</v>
      </c>
      <c r="B11" s="188" t="s">
        <v>55</v>
      </c>
      <c r="C11" s="198" t="str">
        <f>+_xlfn.XLOOKUP(B11,Datos!A:A,Datos!C:C,"",0)</f>
        <v>HRC</v>
      </c>
      <c r="D11" s="188">
        <v>5.65</v>
      </c>
      <c r="E11" s="188">
        <v>1500</v>
      </c>
      <c r="G11" s="206">
        <v>94.6511498083797</v>
      </c>
      <c r="H11" s="197" t="s">
        <v>156</v>
      </c>
      <c r="M11" s="188"/>
      <c r="S11" s="205"/>
      <c r="T11" s="205"/>
    </row>
    <row r="12" ht="13" spans="1:20">
      <c r="A12" s="205" t="str">
        <f>+_xlfn.XLOOKUP(B12,Tabla22[Lote],Tabla22[País],"",0)</f>
        <v>Chile</v>
      </c>
      <c r="B12" s="188" t="s">
        <v>55</v>
      </c>
      <c r="C12" s="198" t="str">
        <f>+_xlfn.XLOOKUP(B12,Datos!A:A,Datos!C:C,"",0)</f>
        <v>HRC</v>
      </c>
      <c r="D12" s="188">
        <v>2.74</v>
      </c>
      <c r="E12" s="188">
        <v>1200</v>
      </c>
      <c r="G12" s="206">
        <v>35.0505858</v>
      </c>
      <c r="H12" s="197" t="s">
        <v>157</v>
      </c>
      <c r="M12" s="188"/>
      <c r="S12" s="205"/>
      <c r="T12" s="205"/>
    </row>
    <row r="13" ht="13" spans="1:20">
      <c r="A13" s="205" t="str">
        <f>+_xlfn.XLOOKUP(B13,Tabla22[Lote],Tabla22[País],"",0)</f>
        <v>Chile</v>
      </c>
      <c r="B13" s="188" t="s">
        <v>56</v>
      </c>
      <c r="C13" s="198" t="str">
        <f>+_xlfn.XLOOKUP(B13,Datos!A:A,Datos!C:C,"",0)</f>
        <v>HRC</v>
      </c>
      <c r="D13" s="188">
        <v>1.35</v>
      </c>
      <c r="E13" s="188">
        <v>1200</v>
      </c>
      <c r="G13" s="206">
        <v>396</v>
      </c>
      <c r="H13" s="197" t="s">
        <v>153</v>
      </c>
      <c r="M13" s="188"/>
      <c r="S13" s="205"/>
      <c r="T13" s="205"/>
    </row>
    <row r="14" ht="13" spans="1:20">
      <c r="A14" s="205" t="str">
        <f>+_xlfn.XLOOKUP(B14,Tabla22[Lote],Tabla22[País],"",0)</f>
        <v>Chile</v>
      </c>
      <c r="B14" s="188" t="s">
        <v>6</v>
      </c>
      <c r="C14" s="198" t="str">
        <f>+_xlfn.XLOOKUP(B14,Datos!A:A,Datos!C:C,"",0)</f>
        <v>ZA</v>
      </c>
      <c r="D14" s="188">
        <v>0.38</v>
      </c>
      <c r="E14" s="188">
        <v>1219</v>
      </c>
      <c r="F14" s="188" t="s">
        <v>158</v>
      </c>
      <c r="G14" s="206">
        <v>173.683210966427</v>
      </c>
      <c r="H14" s="197" t="s">
        <v>159</v>
      </c>
      <c r="M14" s="188"/>
      <c r="S14" s="205"/>
      <c r="T14" s="205"/>
    </row>
    <row r="15" ht="13" spans="1:20">
      <c r="A15" s="205" t="str">
        <f>+_xlfn.XLOOKUP(B15,Tabla22[Lote],Tabla22[País],"",0)</f>
        <v>Chile</v>
      </c>
      <c r="B15" s="188" t="s">
        <v>6</v>
      </c>
      <c r="C15" s="198" t="str">
        <f>+_xlfn.XLOOKUP(B15,Datos!A:A,Datos!C:C,"",0)</f>
        <v>ZA</v>
      </c>
      <c r="D15" s="188">
        <v>0.46</v>
      </c>
      <c r="E15" s="188">
        <v>1219</v>
      </c>
      <c r="F15" s="188" t="s">
        <v>158</v>
      </c>
      <c r="G15" s="206">
        <v>220.015844405547</v>
      </c>
      <c r="H15" s="197" t="s">
        <v>159</v>
      </c>
      <c r="M15" s="188"/>
      <c r="S15" s="205"/>
      <c r="T15" s="205"/>
    </row>
    <row r="16" ht="13" spans="1:20">
      <c r="A16" s="205" t="str">
        <f>+_xlfn.XLOOKUP(B16,Tabla22[Lote],Tabla22[País],"",0)</f>
        <v>Chile</v>
      </c>
      <c r="B16" s="188" t="s">
        <v>6</v>
      </c>
      <c r="C16" s="198" t="str">
        <f>+_xlfn.XLOOKUP(B16,Datos!A:A,Datos!C:C,"",0)</f>
        <v>ZA</v>
      </c>
      <c r="D16" s="188">
        <v>0.58</v>
      </c>
      <c r="E16" s="188">
        <v>1219</v>
      </c>
      <c r="F16" s="188" t="s">
        <v>158</v>
      </c>
      <c r="G16" s="206">
        <v>127.954552088929</v>
      </c>
      <c r="H16" s="197" t="s">
        <v>159</v>
      </c>
      <c r="M16" s="188"/>
      <c r="S16" s="205"/>
      <c r="T16" s="205"/>
    </row>
    <row r="17" ht="13" spans="1:20">
      <c r="A17" s="205" t="str">
        <f>+_xlfn.XLOOKUP(B17,Tabla22[Lote],Tabla22[País],"",0)</f>
        <v>Chile</v>
      </c>
      <c r="B17" s="188" t="s">
        <v>6</v>
      </c>
      <c r="C17" s="198" t="str">
        <f>+_xlfn.XLOOKUP(B17,Datos!A:A,Datos!C:C,"",0)</f>
        <v>ZA</v>
      </c>
      <c r="D17" s="188">
        <v>0.38</v>
      </c>
      <c r="E17" s="188">
        <v>1070</v>
      </c>
      <c r="F17" s="188" t="s">
        <v>158</v>
      </c>
      <c r="G17" s="206">
        <v>19.0108752340412</v>
      </c>
      <c r="H17" s="197" t="s">
        <v>159</v>
      </c>
      <c r="M17" s="188"/>
      <c r="S17" s="205"/>
      <c r="T17" s="205"/>
    </row>
    <row r="18" ht="13" spans="1:20">
      <c r="A18" s="205" t="str">
        <f>+_xlfn.XLOOKUP(B18,Tabla22[Lote],Tabla22[País],"",0)</f>
        <v>Chile</v>
      </c>
      <c r="B18" s="188" t="s">
        <v>6</v>
      </c>
      <c r="C18" s="198" t="str">
        <f>+_xlfn.XLOOKUP(B18,Datos!A:A,Datos!C:C,"",0)</f>
        <v>ZA</v>
      </c>
      <c r="D18" s="188">
        <v>0.46</v>
      </c>
      <c r="E18" s="188">
        <v>1070</v>
      </c>
      <c r="F18" s="188" t="s">
        <v>158</v>
      </c>
      <c r="G18" s="206">
        <v>22.8369727183309</v>
      </c>
      <c r="H18" s="197" t="s">
        <v>159</v>
      </c>
      <c r="M18" s="188"/>
      <c r="S18" s="205"/>
      <c r="T18" s="205"/>
    </row>
    <row r="19" ht="13" spans="1:20">
      <c r="A19" s="205" t="str">
        <f>+_xlfn.XLOOKUP(B19,Tabla22[Lote],Tabla22[País],"",0)</f>
        <v>Chile</v>
      </c>
      <c r="B19" s="188" t="s">
        <v>37</v>
      </c>
      <c r="C19" s="198" t="str">
        <f>+_xlfn.XLOOKUP(B19,Datos!A:A,Datos!C:C,"",0)</f>
        <v>GI</v>
      </c>
      <c r="D19" s="188">
        <v>0.8</v>
      </c>
      <c r="E19" s="188">
        <v>1220</v>
      </c>
      <c r="F19" s="188" t="s">
        <v>160</v>
      </c>
      <c r="G19" s="206">
        <v>69.5286476519223</v>
      </c>
      <c r="H19" s="197" t="s">
        <v>161</v>
      </c>
      <c r="M19" s="188"/>
      <c r="S19" s="205"/>
      <c r="T19" s="205"/>
    </row>
    <row r="20" ht="13" spans="1:20">
      <c r="A20" s="205" t="str">
        <f>+_xlfn.XLOOKUP(B20,Tabla22[Lote],Tabla22[País],"",0)</f>
        <v>Chile</v>
      </c>
      <c r="B20" s="188" t="s">
        <v>17</v>
      </c>
      <c r="C20" s="198" t="str">
        <f>+_xlfn.XLOOKUP(B20,Datos!A:A,Datos!C:C,"",0)</f>
        <v>ZA</v>
      </c>
      <c r="D20" s="188">
        <v>0.33</v>
      </c>
      <c r="E20" s="188">
        <v>940</v>
      </c>
      <c r="F20" s="188" t="s">
        <v>158</v>
      </c>
      <c r="G20" s="206">
        <v>60</v>
      </c>
      <c r="H20" s="197" t="s">
        <v>159</v>
      </c>
      <c r="M20" s="188"/>
      <c r="S20" s="205"/>
      <c r="T20" s="205"/>
    </row>
    <row r="21" ht="13" spans="1:20">
      <c r="A21" s="205" t="str">
        <f>+_xlfn.XLOOKUP(B21,Tabla22[Lote],Tabla22[País],"",0)</f>
        <v>Chile</v>
      </c>
      <c r="B21" s="188" t="s">
        <v>30</v>
      </c>
      <c r="C21" s="198" t="str">
        <f>+_xlfn.XLOOKUP(B21,Datos!A:A,Datos!C:C,"",0)</f>
        <v>PPGL</v>
      </c>
      <c r="D21" s="188">
        <v>0.46</v>
      </c>
      <c r="E21" s="188">
        <v>1219</v>
      </c>
      <c r="F21" s="188" t="s">
        <v>162</v>
      </c>
      <c r="G21" s="206">
        <v>375.201653541596</v>
      </c>
      <c r="H21" s="197" t="s">
        <v>159</v>
      </c>
      <c r="M21" s="188"/>
      <c r="S21" s="205"/>
      <c r="T21" s="205"/>
    </row>
    <row r="22" ht="13" spans="1:20">
      <c r="A22" s="205" t="str">
        <f>+_xlfn.XLOOKUP(B22,Tabla22[Lote],Tabla22[País],"",0)</f>
        <v>Chile</v>
      </c>
      <c r="B22" s="188" t="s">
        <v>30</v>
      </c>
      <c r="C22" s="198" t="str">
        <f>+_xlfn.XLOOKUP(B22,Datos!A:A,Datos!C:C,"",0)</f>
        <v>PPGL</v>
      </c>
      <c r="D22" s="188">
        <v>0.38</v>
      </c>
      <c r="E22" s="188">
        <v>1070</v>
      </c>
      <c r="F22" s="188" t="s">
        <v>162</v>
      </c>
      <c r="G22" s="206">
        <v>20.0406046407172</v>
      </c>
      <c r="H22" s="197" t="s">
        <v>159</v>
      </c>
      <c r="M22" s="188"/>
      <c r="S22" s="205"/>
      <c r="T22" s="205"/>
    </row>
    <row r="23" ht="13" spans="1:20">
      <c r="A23" s="205" t="str">
        <f>+_xlfn.XLOOKUP(B23,Tabla22[Lote],Tabla22[País],"",0)</f>
        <v>Chile</v>
      </c>
      <c r="B23" s="188" t="s">
        <v>30</v>
      </c>
      <c r="C23" s="198" t="str">
        <f>+_xlfn.XLOOKUP(B23,Datos!A:A,Datos!C:C,"",0)</f>
        <v>PPGL</v>
      </c>
      <c r="D23" s="188">
        <v>0.38</v>
      </c>
      <c r="E23" s="188">
        <v>1219</v>
      </c>
      <c r="F23" s="188" t="s">
        <v>163</v>
      </c>
      <c r="G23" s="206">
        <v>201.249381433165</v>
      </c>
      <c r="H23" s="197" t="s">
        <v>159</v>
      </c>
      <c r="M23" s="188"/>
      <c r="S23" s="205"/>
      <c r="T23" s="205"/>
    </row>
    <row r="24" ht="13" spans="1:20">
      <c r="A24" s="205" t="str">
        <f>+_xlfn.XLOOKUP(B24,Tabla22[Lote],Tabla22[País],"",0)</f>
        <v>Chile</v>
      </c>
      <c r="B24" s="188" t="s">
        <v>30</v>
      </c>
      <c r="C24" s="198" t="str">
        <f>+_xlfn.XLOOKUP(B24,Datos!A:A,Datos!C:C,"",0)</f>
        <v>PPGL</v>
      </c>
      <c r="D24" s="188">
        <v>0.33</v>
      </c>
      <c r="E24" s="188">
        <v>950</v>
      </c>
      <c r="F24" s="188" t="s">
        <v>164</v>
      </c>
      <c r="G24" s="206">
        <v>8.20752824331275</v>
      </c>
      <c r="H24" s="197" t="s">
        <v>159</v>
      </c>
      <c r="M24" s="188"/>
      <c r="S24" s="205"/>
      <c r="T24" s="205"/>
    </row>
    <row r="25" ht="13" spans="1:20">
      <c r="A25" s="205" t="str">
        <f>+_xlfn.XLOOKUP(B25,Tabla22[Lote],Tabla22[País],"",0)</f>
        <v>Chile</v>
      </c>
      <c r="B25" s="188" t="s">
        <v>30</v>
      </c>
      <c r="C25" s="198" t="str">
        <f>+_xlfn.XLOOKUP(B25,Datos!A:A,Datos!C:C,"",0)</f>
        <v>PPGL</v>
      </c>
      <c r="D25" s="188">
        <v>0.46</v>
      </c>
      <c r="E25" s="188">
        <v>1070</v>
      </c>
      <c r="F25" s="188" t="s">
        <v>162</v>
      </c>
      <c r="G25" s="206">
        <v>59.3334968192691</v>
      </c>
      <c r="H25" s="197" t="s">
        <v>159</v>
      </c>
      <c r="M25" s="188"/>
      <c r="S25" s="205"/>
      <c r="T25" s="205"/>
    </row>
    <row r="26" ht="13" spans="1:20">
      <c r="A26" s="205" t="str">
        <f>+_xlfn.XLOOKUP(B26,Tabla22[Lote],Tabla22[País],"",0)</f>
        <v>Chile</v>
      </c>
      <c r="B26" s="188" t="s">
        <v>30</v>
      </c>
      <c r="C26" s="198" t="str">
        <f>+_xlfn.XLOOKUP(B26,Datos!A:A,Datos!C:C,"",0)</f>
        <v>PPGL</v>
      </c>
      <c r="D26" s="188">
        <v>0.46</v>
      </c>
      <c r="E26" s="188">
        <v>1219</v>
      </c>
      <c r="F26" s="188" t="s">
        <v>165</v>
      </c>
      <c r="G26" s="206">
        <v>7.77168508526455</v>
      </c>
      <c r="H26" s="197" t="s">
        <v>159</v>
      </c>
      <c r="M26" s="188"/>
      <c r="S26" s="205"/>
      <c r="T26" s="205"/>
    </row>
    <row r="27" ht="13" spans="1:20">
      <c r="A27" s="205" t="str">
        <f>+_xlfn.XLOOKUP(B27,Tabla22[Lote],Tabla22[País],"",0)</f>
        <v>Chile</v>
      </c>
      <c r="B27" s="188" t="s">
        <v>30</v>
      </c>
      <c r="C27" s="198" t="str">
        <f>+_xlfn.XLOOKUP(B27,Datos!A:A,Datos!C:C,"",0)</f>
        <v>PPGL</v>
      </c>
      <c r="D27" s="188">
        <v>0.46</v>
      </c>
      <c r="E27" s="188">
        <v>1219</v>
      </c>
      <c r="F27" s="188" t="s">
        <v>166</v>
      </c>
      <c r="G27" s="206">
        <v>9.04415292964352</v>
      </c>
      <c r="H27" s="197" t="s">
        <v>159</v>
      </c>
      <c r="M27" s="188"/>
      <c r="S27" s="205"/>
      <c r="T27" s="205"/>
    </row>
    <row r="28" ht="13" spans="1:20">
      <c r="A28" s="205" t="str">
        <f>+_xlfn.XLOOKUP(B28,Tabla22[Lote],Tabla22[País],"",0)</f>
        <v>Chile</v>
      </c>
      <c r="B28" s="188" t="s">
        <v>30</v>
      </c>
      <c r="C28" s="198" t="str">
        <f>+_xlfn.XLOOKUP(B28,Datos!A:A,Datos!C:C,"",0)</f>
        <v>PPGL</v>
      </c>
      <c r="D28" s="188">
        <v>0.46</v>
      </c>
      <c r="E28" s="188">
        <v>1219</v>
      </c>
      <c r="F28" s="188" t="s">
        <v>167</v>
      </c>
      <c r="G28" s="206">
        <v>24.8694251829759</v>
      </c>
      <c r="H28" s="197" t="s">
        <v>159</v>
      </c>
      <c r="M28" s="188"/>
      <c r="S28" s="205"/>
      <c r="T28" s="205"/>
    </row>
    <row r="29" ht="13" spans="1:20">
      <c r="A29" s="205" t="str">
        <f>+_xlfn.XLOOKUP(B29,Tabla22[Lote],Tabla22[País],"",0)</f>
        <v>Chile</v>
      </c>
      <c r="B29" s="188" t="s">
        <v>30</v>
      </c>
      <c r="C29" s="198" t="str">
        <f>+_xlfn.XLOOKUP(B29,Datos!A:A,Datos!C:C,"",0)</f>
        <v>PPGL</v>
      </c>
      <c r="D29" s="188">
        <v>0.46</v>
      </c>
      <c r="E29" s="188">
        <v>1219</v>
      </c>
      <c r="F29" s="188" t="s">
        <v>168</v>
      </c>
      <c r="G29" s="206">
        <v>68.7699508930207</v>
      </c>
      <c r="H29" s="197" t="s">
        <v>159</v>
      </c>
      <c r="M29" s="188"/>
      <c r="S29" s="205"/>
      <c r="T29" s="205"/>
    </row>
    <row r="30" ht="13" spans="1:20">
      <c r="A30" s="205" t="str">
        <f>+_xlfn.XLOOKUP(B30,Tabla22[Lote],Tabla22[País],"",0)</f>
        <v>Chile</v>
      </c>
      <c r="B30" s="188" t="s">
        <v>30</v>
      </c>
      <c r="C30" s="198" t="s">
        <v>169</v>
      </c>
      <c r="D30" s="188">
        <v>0.46</v>
      </c>
      <c r="E30" s="188">
        <v>1219</v>
      </c>
      <c r="F30" s="188" t="s">
        <v>162</v>
      </c>
      <c r="G30" s="206">
        <v>375.201653541596</v>
      </c>
      <c r="H30" s="197" t="s">
        <v>159</v>
      </c>
      <c r="M30" s="188"/>
      <c r="S30" s="205"/>
      <c r="T30" s="205"/>
    </row>
    <row r="31" ht="13" spans="1:20">
      <c r="A31" s="205" t="str">
        <f>+_xlfn.XLOOKUP(B31,Tabla22[Lote],Tabla22[País],"",0)</f>
        <v>Chile</v>
      </c>
      <c r="B31" s="188" t="s">
        <v>30</v>
      </c>
      <c r="C31" s="198" t="s">
        <v>169</v>
      </c>
      <c r="D31" s="188">
        <v>0.38</v>
      </c>
      <c r="E31" s="188">
        <v>1070</v>
      </c>
      <c r="F31" s="188" t="s">
        <v>162</v>
      </c>
      <c r="G31" s="206">
        <v>20.0406046407172</v>
      </c>
      <c r="H31" s="197" t="s">
        <v>159</v>
      </c>
      <c r="M31" s="188"/>
      <c r="S31" s="205"/>
      <c r="T31" s="205"/>
    </row>
    <row r="32" ht="13" spans="1:20">
      <c r="A32" s="205" t="str">
        <f>+_xlfn.XLOOKUP(B32,Tabla22[Lote],Tabla22[País],"",0)</f>
        <v>Chile</v>
      </c>
      <c r="B32" s="188" t="s">
        <v>30</v>
      </c>
      <c r="C32" s="198" t="s">
        <v>169</v>
      </c>
      <c r="D32" s="188">
        <v>0.38</v>
      </c>
      <c r="E32" s="188">
        <v>1219</v>
      </c>
      <c r="F32" s="188" t="s">
        <v>163</v>
      </c>
      <c r="G32" s="206">
        <v>201.249381433165</v>
      </c>
      <c r="H32" s="197" t="s">
        <v>159</v>
      </c>
      <c r="M32" s="188"/>
      <c r="S32" s="205"/>
      <c r="T32" s="205"/>
    </row>
    <row r="33" ht="13" spans="1:20">
      <c r="A33" s="205" t="str">
        <f>+_xlfn.XLOOKUP(B33,Tabla22[Lote],Tabla22[País],"",0)</f>
        <v>Chile</v>
      </c>
      <c r="B33" s="188" t="s">
        <v>30</v>
      </c>
      <c r="C33" s="198" t="s">
        <v>169</v>
      </c>
      <c r="D33" s="188">
        <v>0.33</v>
      </c>
      <c r="E33" s="188">
        <v>950</v>
      </c>
      <c r="F33" s="188" t="s">
        <v>164</v>
      </c>
      <c r="G33" s="206">
        <v>8.20752824331275</v>
      </c>
      <c r="H33" s="197" t="s">
        <v>159</v>
      </c>
      <c r="M33" s="188"/>
      <c r="S33" s="205"/>
      <c r="T33" s="205"/>
    </row>
    <row r="34" ht="13" spans="1:20">
      <c r="A34" s="205" t="str">
        <f>+_xlfn.XLOOKUP(B34,Tabla22[Lote],Tabla22[País],"",0)</f>
        <v>Chile</v>
      </c>
      <c r="B34" s="188" t="s">
        <v>30</v>
      </c>
      <c r="C34" s="198" t="s">
        <v>169</v>
      </c>
      <c r="D34" s="188">
        <v>0.46</v>
      </c>
      <c r="E34" s="188">
        <v>1070</v>
      </c>
      <c r="F34" s="188" t="s">
        <v>162</v>
      </c>
      <c r="G34" s="206">
        <v>59.3334968192691</v>
      </c>
      <c r="H34" s="197" t="s">
        <v>159</v>
      </c>
      <c r="M34" s="188"/>
      <c r="S34" s="205"/>
      <c r="T34" s="205"/>
    </row>
    <row r="35" ht="13" spans="1:20">
      <c r="A35" s="205" t="str">
        <f>+_xlfn.XLOOKUP(B35,Tabla22[Lote],Tabla22[País],"",0)</f>
        <v>Chile</v>
      </c>
      <c r="B35" s="188" t="s">
        <v>30</v>
      </c>
      <c r="C35" s="198" t="s">
        <v>169</v>
      </c>
      <c r="D35" s="188">
        <v>0.46</v>
      </c>
      <c r="E35" s="188">
        <v>1219</v>
      </c>
      <c r="F35" s="188" t="s">
        <v>165</v>
      </c>
      <c r="G35" s="206">
        <v>7.77168508526455</v>
      </c>
      <c r="H35" s="197" t="s">
        <v>159</v>
      </c>
      <c r="M35" s="188"/>
      <c r="S35" s="205"/>
      <c r="T35" s="205"/>
    </row>
    <row r="36" ht="13" spans="1:20">
      <c r="A36" s="205" t="str">
        <f>+_xlfn.XLOOKUP(B36,Tabla22[Lote],Tabla22[País],"",0)</f>
        <v>Chile</v>
      </c>
      <c r="B36" s="188" t="s">
        <v>30</v>
      </c>
      <c r="C36" s="198" t="s">
        <v>169</v>
      </c>
      <c r="D36" s="188">
        <v>0.46</v>
      </c>
      <c r="E36" s="188">
        <v>1219</v>
      </c>
      <c r="F36" s="188" t="s">
        <v>166</v>
      </c>
      <c r="G36" s="206">
        <v>9.04415292964352</v>
      </c>
      <c r="H36" s="197" t="s">
        <v>159</v>
      </c>
      <c r="M36" s="188"/>
      <c r="S36" s="205"/>
      <c r="T36" s="205"/>
    </row>
    <row r="37" ht="13" spans="1:20">
      <c r="A37" s="205" t="str">
        <f>+_xlfn.XLOOKUP(B37,Tabla22[Lote],Tabla22[País],"",0)</f>
        <v>Chile</v>
      </c>
      <c r="B37" s="188" t="s">
        <v>30</v>
      </c>
      <c r="C37" s="198" t="s">
        <v>169</v>
      </c>
      <c r="D37" s="188">
        <v>0.46</v>
      </c>
      <c r="E37" s="188">
        <v>1219</v>
      </c>
      <c r="F37" s="188" t="s">
        <v>167</v>
      </c>
      <c r="G37" s="206">
        <v>24.8694251829759</v>
      </c>
      <c r="H37" s="197" t="s">
        <v>159</v>
      </c>
      <c r="M37" s="188"/>
      <c r="S37" s="205"/>
      <c r="T37" s="205"/>
    </row>
    <row r="38" ht="13" spans="1:20">
      <c r="A38" s="205" t="str">
        <f>+_xlfn.XLOOKUP(B38,Tabla22[Lote],Tabla22[País],"",0)</f>
        <v>Chile</v>
      </c>
      <c r="B38" s="188" t="s">
        <v>30</v>
      </c>
      <c r="C38" s="198" t="s">
        <v>169</v>
      </c>
      <c r="D38" s="188">
        <v>0.46</v>
      </c>
      <c r="E38" s="188">
        <v>1219</v>
      </c>
      <c r="F38" s="188" t="s">
        <v>168</v>
      </c>
      <c r="G38" s="206">
        <v>68.7699508930207</v>
      </c>
      <c r="H38" s="197" t="s">
        <v>159</v>
      </c>
      <c r="M38" s="188"/>
      <c r="S38" s="205"/>
      <c r="T38" s="205"/>
    </row>
    <row r="39" ht="13" spans="1:20">
      <c r="A39" s="205" t="str">
        <f>+_xlfn.XLOOKUP(B39,Tabla22[Lote],Tabla22[País],"",0)</f>
        <v>Chile</v>
      </c>
      <c r="B39" s="188" t="s">
        <v>30</v>
      </c>
      <c r="C39" s="198" t="s">
        <v>170</v>
      </c>
      <c r="D39" s="188">
        <v>0.46</v>
      </c>
      <c r="E39" s="188">
        <v>1219</v>
      </c>
      <c r="F39" s="188" t="s">
        <v>162</v>
      </c>
      <c r="G39" s="206">
        <v>375.201653541596</v>
      </c>
      <c r="H39" s="197" t="s">
        <v>159</v>
      </c>
      <c r="M39" s="188"/>
      <c r="S39" s="205"/>
      <c r="T39" s="205"/>
    </row>
    <row r="40" ht="13" spans="1:20">
      <c r="A40" s="205" t="str">
        <f>+_xlfn.XLOOKUP(B40,Tabla22[Lote],Tabla22[País],"",0)</f>
        <v>Chile</v>
      </c>
      <c r="B40" s="188" t="s">
        <v>30</v>
      </c>
      <c r="C40" s="198" t="s">
        <v>170</v>
      </c>
      <c r="D40" s="188">
        <v>0.38</v>
      </c>
      <c r="E40" s="188">
        <v>1070</v>
      </c>
      <c r="F40" s="188" t="s">
        <v>162</v>
      </c>
      <c r="G40" s="206">
        <v>20.0406046407172</v>
      </c>
      <c r="H40" s="197" t="s">
        <v>159</v>
      </c>
      <c r="M40" s="188"/>
      <c r="S40" s="205"/>
      <c r="T40" s="205"/>
    </row>
    <row r="41" ht="13" spans="1:20">
      <c r="A41" s="205" t="str">
        <f>+_xlfn.XLOOKUP(B41,Tabla22[Lote],Tabla22[País],"",0)</f>
        <v>Chile</v>
      </c>
      <c r="B41" s="188" t="s">
        <v>30</v>
      </c>
      <c r="C41" s="198" t="s">
        <v>170</v>
      </c>
      <c r="D41" s="188">
        <v>0.38</v>
      </c>
      <c r="E41" s="188">
        <v>1219</v>
      </c>
      <c r="F41" s="188" t="s">
        <v>163</v>
      </c>
      <c r="G41" s="206">
        <v>201.249381433165</v>
      </c>
      <c r="H41" s="197" t="s">
        <v>159</v>
      </c>
      <c r="M41" s="188"/>
      <c r="S41" s="205"/>
      <c r="T41" s="205"/>
    </row>
    <row r="42" ht="13" spans="1:20">
      <c r="A42" s="205" t="str">
        <f>+_xlfn.XLOOKUP(B42,Tabla22[Lote],Tabla22[País],"",0)</f>
        <v>Chile</v>
      </c>
      <c r="B42" s="188" t="s">
        <v>30</v>
      </c>
      <c r="C42" s="198" t="s">
        <v>170</v>
      </c>
      <c r="D42" s="188">
        <v>0.33</v>
      </c>
      <c r="E42" s="188">
        <v>950</v>
      </c>
      <c r="F42" s="188" t="s">
        <v>164</v>
      </c>
      <c r="G42" s="206">
        <v>8.20752824331275</v>
      </c>
      <c r="H42" s="197" t="s">
        <v>159</v>
      </c>
      <c r="M42" s="188"/>
      <c r="S42" s="205"/>
      <c r="T42" s="205"/>
    </row>
    <row r="43" ht="13" spans="1:20">
      <c r="A43" s="205" t="str">
        <f>+_xlfn.XLOOKUP(B43,Tabla22[Lote],Tabla22[País],"",0)</f>
        <v>Chile</v>
      </c>
      <c r="B43" s="188" t="s">
        <v>30</v>
      </c>
      <c r="C43" s="198" t="s">
        <v>170</v>
      </c>
      <c r="D43" s="188">
        <v>0.46</v>
      </c>
      <c r="E43" s="188">
        <v>1070</v>
      </c>
      <c r="F43" s="188" t="s">
        <v>162</v>
      </c>
      <c r="G43" s="206">
        <v>59.3334968192691</v>
      </c>
      <c r="H43" s="197" t="s">
        <v>159</v>
      </c>
      <c r="M43" s="188"/>
      <c r="S43" s="205"/>
      <c r="T43" s="205"/>
    </row>
    <row r="44" ht="13" spans="1:20">
      <c r="A44" s="205" t="str">
        <f>+_xlfn.XLOOKUP(B44,Tabla22[Lote],Tabla22[País],"",0)</f>
        <v>Chile</v>
      </c>
      <c r="B44" s="188" t="s">
        <v>30</v>
      </c>
      <c r="C44" s="198" t="s">
        <v>170</v>
      </c>
      <c r="D44" s="188">
        <v>0.46</v>
      </c>
      <c r="E44" s="188">
        <v>1219</v>
      </c>
      <c r="F44" s="188" t="s">
        <v>165</v>
      </c>
      <c r="G44" s="206">
        <v>7.77168508526455</v>
      </c>
      <c r="H44" s="197" t="s">
        <v>159</v>
      </c>
      <c r="M44" s="188"/>
      <c r="S44" s="205"/>
      <c r="T44" s="205"/>
    </row>
    <row r="45" ht="13" spans="1:20">
      <c r="A45" s="205" t="str">
        <f>+_xlfn.XLOOKUP(B45,Tabla22[Lote],Tabla22[País],"",0)</f>
        <v>Chile</v>
      </c>
      <c r="B45" s="188" t="s">
        <v>30</v>
      </c>
      <c r="C45" s="198" t="s">
        <v>170</v>
      </c>
      <c r="D45" s="188">
        <v>0.46</v>
      </c>
      <c r="E45" s="188">
        <v>1219</v>
      </c>
      <c r="F45" s="188" t="s">
        <v>166</v>
      </c>
      <c r="G45" s="206">
        <v>9.04415292964352</v>
      </c>
      <c r="H45" s="197" t="s">
        <v>159</v>
      </c>
      <c r="M45" s="188"/>
      <c r="S45" s="205"/>
      <c r="T45" s="205"/>
    </row>
    <row r="46" ht="13" spans="1:20">
      <c r="A46" s="205" t="str">
        <f>+_xlfn.XLOOKUP(B46,Tabla22[Lote],Tabla22[País],"",0)</f>
        <v>Chile</v>
      </c>
      <c r="B46" s="188" t="s">
        <v>30</v>
      </c>
      <c r="C46" s="198" t="s">
        <v>170</v>
      </c>
      <c r="D46" s="188">
        <v>0.46</v>
      </c>
      <c r="E46" s="188">
        <v>1219</v>
      </c>
      <c r="F46" s="188" t="s">
        <v>167</v>
      </c>
      <c r="G46" s="206">
        <v>24.8694251829759</v>
      </c>
      <c r="H46" s="197" t="s">
        <v>159</v>
      </c>
      <c r="M46" s="188"/>
      <c r="S46" s="205"/>
      <c r="T46" s="205"/>
    </row>
    <row r="47" ht="13" spans="1:20">
      <c r="A47" s="205" t="str">
        <f>+_xlfn.XLOOKUP(B47,Tabla22[Lote],Tabla22[País],"",0)</f>
        <v>Chile</v>
      </c>
      <c r="B47" s="188" t="s">
        <v>30</v>
      </c>
      <c r="C47" s="198" t="s">
        <v>170</v>
      </c>
      <c r="D47" s="188">
        <v>0.46</v>
      </c>
      <c r="E47" s="188">
        <v>1219</v>
      </c>
      <c r="F47" s="188" t="s">
        <v>168</v>
      </c>
      <c r="G47" s="206">
        <v>68.7699508930207</v>
      </c>
      <c r="H47" s="197" t="s">
        <v>159</v>
      </c>
      <c r="M47" s="188"/>
      <c r="S47" s="205"/>
      <c r="T47" s="205"/>
    </row>
    <row r="48" ht="13" spans="1:20">
      <c r="A48" s="205" t="str">
        <f>+_xlfn.XLOOKUP(B48,Tabla22[Lote],Tabla22[País],"",0)</f>
        <v>Chile</v>
      </c>
      <c r="B48" s="188" t="s">
        <v>20</v>
      </c>
      <c r="C48" s="198" t="str">
        <f>+_xlfn.XLOOKUP(B48,Datos!A:A,Datos!C:C,"",0)</f>
        <v>ZA</v>
      </c>
      <c r="D48" s="188">
        <v>0.33</v>
      </c>
      <c r="E48" s="188">
        <v>940</v>
      </c>
      <c r="F48" s="188" t="s">
        <v>171</v>
      </c>
      <c r="G48" s="206">
        <v>90</v>
      </c>
      <c r="H48" s="197" t="s">
        <v>159</v>
      </c>
      <c r="M48" s="188"/>
      <c r="S48" s="205"/>
      <c r="T48" s="205"/>
    </row>
    <row r="49" ht="13" spans="1:20">
      <c r="A49" s="205" t="str">
        <f>+_xlfn.XLOOKUP(B49,Tabla22[Lote],Tabla22[País],"",0)</f>
        <v>Chile</v>
      </c>
      <c r="B49" s="188" t="s">
        <v>12</v>
      </c>
      <c r="C49" s="198" t="str">
        <f>+_xlfn.XLOOKUP(B49,Datos!A:A,Datos!C:C,"",0)</f>
        <v>ZA</v>
      </c>
      <c r="D49" s="188">
        <v>0.38</v>
      </c>
      <c r="E49" s="188">
        <v>1219</v>
      </c>
      <c r="F49" s="188" t="s">
        <v>158</v>
      </c>
      <c r="G49" s="206">
        <v>40.2452326640904</v>
      </c>
      <c r="H49" s="197" t="s">
        <v>159</v>
      </c>
      <c r="M49" s="188"/>
      <c r="S49" s="205"/>
      <c r="T49" s="205"/>
    </row>
    <row r="50" ht="13" spans="1:20">
      <c r="A50" s="205" t="str">
        <f>+_xlfn.XLOOKUP(B50,Tabla22[Lote],Tabla22[País],"",0)</f>
        <v>Chile</v>
      </c>
      <c r="B50" s="188" t="s">
        <v>12</v>
      </c>
      <c r="C50" s="198" t="str">
        <f>+_xlfn.XLOOKUP(B50,Datos!A:A,Datos!C:C,"",0)</f>
        <v>ZA</v>
      </c>
      <c r="D50" s="188">
        <v>0.46</v>
      </c>
      <c r="E50" s="188">
        <v>1219</v>
      </c>
      <c r="F50" s="188" t="s">
        <v>158</v>
      </c>
      <c r="G50" s="206">
        <v>15.1407737542774</v>
      </c>
      <c r="H50" s="197" t="s">
        <v>159</v>
      </c>
      <c r="M50" s="188"/>
      <c r="S50" s="205"/>
      <c r="T50" s="205"/>
    </row>
    <row r="51" ht="13" spans="1:20">
      <c r="A51" s="205" t="str">
        <f>+_xlfn.XLOOKUP(B51,Tabla22[Lote],Tabla22[País],"",0)</f>
        <v>Chile</v>
      </c>
      <c r="B51" s="188" t="s">
        <v>12</v>
      </c>
      <c r="C51" s="198" t="str">
        <f>+_xlfn.XLOOKUP(B51,Datos!A:A,Datos!C:C,"",0)</f>
        <v>ZA</v>
      </c>
      <c r="D51" s="188">
        <v>0.58</v>
      </c>
      <c r="E51" s="188">
        <v>1219</v>
      </c>
      <c r="F51" s="188" t="s">
        <v>158</v>
      </c>
      <c r="G51" s="206">
        <v>8.88974034105821</v>
      </c>
      <c r="H51" s="197" t="s">
        <v>159</v>
      </c>
      <c r="M51" s="188"/>
      <c r="S51" s="205"/>
      <c r="T51" s="205"/>
    </row>
    <row r="52" ht="13" spans="1:20">
      <c r="A52" s="205" t="str">
        <f>+_xlfn.XLOOKUP(B52,Tabla22[Lote],Tabla22[País],"",0)</f>
        <v>Perú Tupemesa</v>
      </c>
      <c r="B52" s="188" t="s">
        <v>64</v>
      </c>
      <c r="C52" s="198" t="str">
        <f>+_xlfn.XLOOKUP(B52,Datos!A:A,Datos!C:C,"",0)</f>
        <v>CRC</v>
      </c>
      <c r="D52" s="188">
        <v>0.85</v>
      </c>
      <c r="E52" s="188">
        <v>1200</v>
      </c>
      <c r="G52" s="206">
        <v>278.79748811179</v>
      </c>
      <c r="H52" s="197" t="s">
        <v>172</v>
      </c>
      <c r="M52" s="188"/>
      <c r="S52" s="205"/>
      <c r="T52" s="205"/>
    </row>
    <row r="53" ht="13" spans="1:20">
      <c r="A53" s="205" t="str">
        <f>+_xlfn.XLOOKUP(B53,Tabla22[Lote],Tabla22[País],"",0)</f>
        <v>Perú Tupemesa</v>
      </c>
      <c r="B53" s="188" t="s">
        <v>64</v>
      </c>
      <c r="C53" s="198" t="str">
        <f>+_xlfn.XLOOKUP(B53,Datos!A:A,Datos!C:C,"",0)</f>
        <v>CRC</v>
      </c>
      <c r="D53" s="188">
        <v>1.12</v>
      </c>
      <c r="E53" s="188">
        <v>1200</v>
      </c>
      <c r="G53" s="206">
        <v>547.614657049456</v>
      </c>
      <c r="H53" s="197" t="s">
        <v>172</v>
      </c>
      <c r="M53" s="188"/>
      <c r="S53" s="205"/>
      <c r="T53" s="205"/>
    </row>
    <row r="54" ht="13" spans="1:20">
      <c r="A54" s="205" t="str">
        <f>+_xlfn.XLOOKUP(B54,Tabla22[Lote],Tabla22[País],"",0)</f>
        <v>Perú Tupemesa</v>
      </c>
      <c r="B54" s="188" t="s">
        <v>64</v>
      </c>
      <c r="C54" s="198" t="str">
        <f>+_xlfn.XLOOKUP(B54,Datos!A:A,Datos!C:C,"",0)</f>
        <v>CRC</v>
      </c>
      <c r="D54" s="188">
        <v>1.4</v>
      </c>
      <c r="E54" s="188">
        <v>1200</v>
      </c>
      <c r="G54" s="206">
        <v>301.39290671479</v>
      </c>
      <c r="H54" s="197" t="s">
        <v>172</v>
      </c>
      <c r="M54" s="188"/>
      <c r="S54" s="205"/>
      <c r="T54" s="205"/>
    </row>
    <row r="55" ht="13" spans="1:20">
      <c r="A55" s="205" t="str">
        <f>+_xlfn.XLOOKUP(B55,Tabla22[Lote],Tabla22[País],"",0)</f>
        <v>Perú Tupemesa</v>
      </c>
      <c r="B55" s="188" t="s">
        <v>59</v>
      </c>
      <c r="C55" s="198" t="str">
        <f>+_xlfn.XLOOKUP(B55,Datos!A:A,Datos!C:C,"",0)</f>
        <v>HRC</v>
      </c>
      <c r="D55" s="188">
        <v>1.88</v>
      </c>
      <c r="E55" s="188">
        <v>1190</v>
      </c>
      <c r="G55" s="206">
        <v>1549.58573273608</v>
      </c>
      <c r="H55" s="197" t="s">
        <v>173</v>
      </c>
      <c r="M55" s="188"/>
      <c r="S55" s="205"/>
      <c r="T55" s="205"/>
    </row>
    <row r="56" ht="13" spans="1:20">
      <c r="A56" s="205" t="str">
        <f>+_xlfn.XLOOKUP(B56,Tabla22[Lote],Tabla22[País],"",0)</f>
        <v>Perú Tupemesa</v>
      </c>
      <c r="B56" s="188" t="s">
        <v>59</v>
      </c>
      <c r="C56" s="198" t="str">
        <f>+_xlfn.XLOOKUP(B56,Datos!A:A,Datos!C:C,"",0)</f>
        <v>HRC</v>
      </c>
      <c r="D56" s="188">
        <v>2.38</v>
      </c>
      <c r="E56" s="188">
        <v>1180</v>
      </c>
      <c r="G56" s="206">
        <v>697.752215524877</v>
      </c>
      <c r="H56" s="197" t="s">
        <v>173</v>
      </c>
      <c r="M56" s="188"/>
      <c r="S56" s="205"/>
      <c r="T56" s="205"/>
    </row>
    <row r="57" ht="13" spans="1:20">
      <c r="A57" s="205" t="str">
        <f>+_xlfn.XLOOKUP(B57,Tabla22[Lote],Tabla22[País],"",0)</f>
        <v>Perú Tupemesa</v>
      </c>
      <c r="B57" s="188" t="s">
        <v>59</v>
      </c>
      <c r="C57" s="198" t="str">
        <f>+_xlfn.XLOOKUP(B57,Datos!A:A,Datos!C:C,"",0)</f>
        <v>HRC</v>
      </c>
      <c r="D57" s="188">
        <v>5.5</v>
      </c>
      <c r="E57" s="188">
        <v>1500</v>
      </c>
      <c r="G57" s="206">
        <v>7.93303986005025</v>
      </c>
      <c r="H57" s="197" t="s">
        <v>173</v>
      </c>
      <c r="M57" s="188"/>
      <c r="S57" s="205"/>
      <c r="T57" s="205"/>
    </row>
    <row r="58" ht="13" spans="1:20">
      <c r="A58" s="205" t="s">
        <v>26</v>
      </c>
      <c r="B58" s="188" t="s">
        <v>174</v>
      </c>
      <c r="C58" s="198" t="s">
        <v>52</v>
      </c>
      <c r="D58" s="188">
        <v>2</v>
      </c>
      <c r="E58" s="188">
        <v>1200</v>
      </c>
      <c r="F58" s="188" t="s">
        <v>175</v>
      </c>
      <c r="G58" s="206">
        <v>28.7254970781519</v>
      </c>
      <c r="H58" s="197" t="s">
        <v>176</v>
      </c>
      <c r="M58" s="188"/>
      <c r="S58" s="205"/>
      <c r="T58" s="205"/>
    </row>
    <row r="59" ht="13" spans="1:20">
      <c r="A59" s="205" t="str">
        <f>+_xlfn.XLOOKUP(B59,Tabla22[Lote],Tabla22[País],"",0)</f>
        <v>Perú Tupemesa</v>
      </c>
      <c r="B59" s="188" t="s">
        <v>92</v>
      </c>
      <c r="C59" s="198" t="str">
        <f>+_xlfn.XLOOKUP(B59,Datos!A:A,Datos!C:C,"",0)</f>
        <v>HRC</v>
      </c>
      <c r="D59" s="188">
        <v>1.4</v>
      </c>
      <c r="E59" s="188">
        <v>1200</v>
      </c>
      <c r="G59" s="206">
        <v>974.041104109706</v>
      </c>
      <c r="H59" s="197" t="s">
        <v>177</v>
      </c>
      <c r="M59" s="188"/>
      <c r="S59" s="205"/>
      <c r="T59" s="205"/>
    </row>
    <row r="60" ht="13" spans="1:20">
      <c r="A60" s="205" t="str">
        <f>+_xlfn.XLOOKUP(B60,Tabla22[Lote],Tabla22[País],"",0)</f>
        <v>Perú Tupemesa</v>
      </c>
      <c r="B60" s="188" t="s">
        <v>92</v>
      </c>
      <c r="C60" s="198" t="str">
        <f>+_xlfn.XLOOKUP(B60,Datos!A:A,Datos!C:C,"",0)</f>
        <v>HRC</v>
      </c>
      <c r="D60" s="188">
        <v>1.7</v>
      </c>
      <c r="E60" s="188">
        <v>1190</v>
      </c>
      <c r="G60" s="206">
        <v>663.73293214294</v>
      </c>
      <c r="H60" s="197" t="s">
        <v>177</v>
      </c>
      <c r="M60" s="188"/>
      <c r="S60" s="205"/>
      <c r="T60" s="205"/>
    </row>
    <row r="61" ht="13" spans="1:20">
      <c r="A61" s="205" t="str">
        <f>+_xlfn.XLOOKUP(B61,Tabla22[Lote],Tabla22[País],"",0)</f>
        <v>Perú Tupemesa</v>
      </c>
      <c r="B61" s="188" t="s">
        <v>60</v>
      </c>
      <c r="C61" s="198" t="str">
        <f>+_xlfn.XLOOKUP(B61,Datos!A:A,Datos!C:C,"",0)</f>
        <v>HRC</v>
      </c>
      <c r="D61" s="188">
        <v>2.4</v>
      </c>
      <c r="E61" s="188">
        <v>1200</v>
      </c>
      <c r="F61" s="188" t="s">
        <v>178</v>
      </c>
      <c r="G61" s="206">
        <v>62.8262387274002</v>
      </c>
      <c r="H61" s="197" t="s">
        <v>176</v>
      </c>
      <c r="M61" s="188"/>
      <c r="S61" s="205"/>
      <c r="T61" s="205"/>
    </row>
    <row r="62" ht="13" spans="1:20">
      <c r="A62" s="205" t="str">
        <f>+_xlfn.XLOOKUP(B62,Tabla22[Lote],Tabla22[País],"",0)</f>
        <v>Perú Tupemesa</v>
      </c>
      <c r="B62" s="188" t="s">
        <v>43</v>
      </c>
      <c r="C62" s="198" t="str">
        <f>+_xlfn.XLOOKUP(B62,Datos!A:A,Datos!C:C,"",0)</f>
        <v>GI</v>
      </c>
      <c r="D62" s="188">
        <v>1.12</v>
      </c>
      <c r="E62" s="188">
        <v>1200</v>
      </c>
      <c r="F62" s="188" t="s">
        <v>179</v>
      </c>
      <c r="G62" s="206">
        <v>210.059406461322</v>
      </c>
      <c r="H62" s="197" t="s">
        <v>180</v>
      </c>
      <c r="M62" s="188"/>
      <c r="S62" s="205"/>
      <c r="T62" s="205"/>
    </row>
    <row r="63" ht="13" spans="1:20">
      <c r="A63" s="205" t="str">
        <f>+_xlfn.XLOOKUP(B63,Tabla22[Lote],Tabla22[País],"",0)</f>
        <v>Perú Tupemesa</v>
      </c>
      <c r="B63" s="188" t="s">
        <v>43</v>
      </c>
      <c r="C63" s="198" t="str">
        <f>+_xlfn.XLOOKUP(B63,Datos!A:A,Datos!C:C,"",0)</f>
        <v>GI</v>
      </c>
      <c r="D63" s="188">
        <v>1.4</v>
      </c>
      <c r="E63" s="188">
        <v>1200</v>
      </c>
      <c r="F63" s="188" t="s">
        <v>179</v>
      </c>
      <c r="G63" s="206">
        <v>759.94391047237</v>
      </c>
      <c r="H63" s="197" t="s">
        <v>180</v>
      </c>
      <c r="M63" s="188"/>
      <c r="S63" s="205"/>
      <c r="T63" s="205"/>
    </row>
    <row r="64" ht="13" spans="1:20">
      <c r="A64" s="205" t="str">
        <f>+_xlfn.XLOOKUP(B64,Tabla22[Lote],Tabla22[País],"",0)</f>
        <v>Perú Tupemesa</v>
      </c>
      <c r="B64" s="188" t="s">
        <v>43</v>
      </c>
      <c r="C64" s="198" t="str">
        <f>+_xlfn.XLOOKUP(B64,Datos!A:A,Datos!C:C,"",0)</f>
        <v>GI</v>
      </c>
      <c r="D64" s="188">
        <v>1.7</v>
      </c>
      <c r="E64" s="188">
        <v>1200</v>
      </c>
      <c r="F64" s="188" t="s">
        <v>179</v>
      </c>
      <c r="G64" s="206">
        <v>327.291601098716</v>
      </c>
      <c r="H64" s="197" t="s">
        <v>181</v>
      </c>
      <c r="M64" s="188"/>
      <c r="S64" s="205"/>
      <c r="T64" s="205"/>
    </row>
    <row r="65" ht="13" spans="1:20">
      <c r="A65" s="205" t="str">
        <f>+_xlfn.XLOOKUP(B65,Tabla22[Lote],Tabla22[País],"",0)</f>
        <v>Perú Tupemesa</v>
      </c>
      <c r="B65" s="188" t="s">
        <v>43</v>
      </c>
      <c r="C65" s="198" t="str">
        <f>+_xlfn.XLOOKUP(B65,Datos!A:A,Datos!C:C,"",0)</f>
        <v>GI</v>
      </c>
      <c r="D65" s="188">
        <v>1.9</v>
      </c>
      <c r="E65" s="188">
        <v>1200</v>
      </c>
      <c r="F65" s="188" t="s">
        <v>179</v>
      </c>
      <c r="G65" s="206">
        <v>884.26032059677</v>
      </c>
      <c r="H65" s="197" t="s">
        <v>181</v>
      </c>
      <c r="M65" s="188"/>
      <c r="S65" s="205"/>
      <c r="T65" s="205"/>
    </row>
    <row r="66" ht="13" spans="1:20">
      <c r="A66" s="205" t="str">
        <f>+_xlfn.XLOOKUP(B66,Tabla22[Lote],Tabla22[País],"",0)</f>
        <v>Perú Tupemesa</v>
      </c>
      <c r="B66" s="188" t="s">
        <v>43</v>
      </c>
      <c r="C66" s="198" t="s">
        <v>182</v>
      </c>
      <c r="D66" s="188">
        <v>1.12</v>
      </c>
      <c r="E66" s="188">
        <v>1200</v>
      </c>
      <c r="F66" s="188" t="s">
        <v>179</v>
      </c>
      <c r="G66" s="206">
        <v>210.059406461322</v>
      </c>
      <c r="H66" s="197" t="s">
        <v>180</v>
      </c>
      <c r="M66" s="188"/>
      <c r="S66" s="205"/>
      <c r="T66" s="205"/>
    </row>
    <row r="67" ht="13" spans="1:20">
      <c r="A67" s="205" t="str">
        <f>+_xlfn.XLOOKUP(B67,Tabla22[Lote],Tabla22[País],"",0)</f>
        <v>Perú Tupemesa</v>
      </c>
      <c r="B67" s="188" t="s">
        <v>43</v>
      </c>
      <c r="C67" s="198" t="s">
        <v>182</v>
      </c>
      <c r="D67" s="188">
        <v>1.4</v>
      </c>
      <c r="E67" s="188">
        <v>1200</v>
      </c>
      <c r="F67" s="188" t="s">
        <v>179</v>
      </c>
      <c r="G67" s="206">
        <v>759.94391047237</v>
      </c>
      <c r="H67" s="197" t="s">
        <v>180</v>
      </c>
      <c r="M67" s="188"/>
      <c r="S67" s="205"/>
      <c r="T67" s="205"/>
    </row>
    <row r="68" ht="13" spans="1:20">
      <c r="A68" s="205" t="str">
        <f>+_xlfn.XLOOKUP(B68,Tabla22[Lote],Tabla22[País],"",0)</f>
        <v>Perú Tupemesa</v>
      </c>
      <c r="B68" s="188" t="s">
        <v>43</v>
      </c>
      <c r="C68" s="198" t="s">
        <v>182</v>
      </c>
      <c r="D68" s="188">
        <v>1.7</v>
      </c>
      <c r="E68" s="188">
        <v>1200</v>
      </c>
      <c r="F68" s="188" t="s">
        <v>179</v>
      </c>
      <c r="G68" s="206">
        <v>327.291601098716</v>
      </c>
      <c r="H68" s="197" t="s">
        <v>181</v>
      </c>
      <c r="M68" s="188"/>
      <c r="S68" s="205"/>
      <c r="T68" s="205"/>
    </row>
    <row r="69" ht="13" spans="1:20">
      <c r="A69" s="205" t="str">
        <f>+_xlfn.XLOOKUP(B69,Tabla22[Lote],Tabla22[País],"",0)</f>
        <v>Perú Tupemesa</v>
      </c>
      <c r="B69" s="188" t="s">
        <v>43</v>
      </c>
      <c r="C69" s="198" t="s">
        <v>182</v>
      </c>
      <c r="D69" s="188">
        <v>1.9</v>
      </c>
      <c r="E69" s="188">
        <v>1200</v>
      </c>
      <c r="F69" s="188" t="s">
        <v>179</v>
      </c>
      <c r="G69" s="206">
        <v>884.26032059677</v>
      </c>
      <c r="H69" s="197" t="s">
        <v>181</v>
      </c>
      <c r="M69" s="188"/>
      <c r="S69" s="205"/>
      <c r="T69" s="205"/>
    </row>
    <row r="70" ht="13" spans="1:20">
      <c r="A70" s="205" t="str">
        <f>+_xlfn.XLOOKUP(B70,Tabla22[Lote],Tabla22[País],"",0)</f>
        <v>Perú Tupemesa</v>
      </c>
      <c r="B70" s="188" t="s">
        <v>94</v>
      </c>
      <c r="C70" s="198" t="str">
        <f>+_xlfn.XLOOKUP(B70,Datos!A:A,Datos!C:C,"",0)</f>
        <v>GI</v>
      </c>
      <c r="D70" s="188">
        <v>0.28</v>
      </c>
      <c r="E70" s="188">
        <v>1145</v>
      </c>
      <c r="F70" s="188" t="s">
        <v>179</v>
      </c>
      <c r="G70" s="206">
        <v>52.5464738373844</v>
      </c>
      <c r="H70" s="197" t="s">
        <v>183</v>
      </c>
      <c r="M70" s="188"/>
      <c r="S70" s="205"/>
      <c r="T70" s="205"/>
    </row>
    <row r="71" ht="13" spans="1:20">
      <c r="A71" s="205" t="str">
        <f>+_xlfn.XLOOKUP(B71,Tabla22[Lote],Tabla22[País],"",0)</f>
        <v>Perú Tupemesa</v>
      </c>
      <c r="B71" s="188" t="s">
        <v>94</v>
      </c>
      <c r="C71" s="198" t="str">
        <f>+_xlfn.XLOOKUP(B71,Datos!A:A,Datos!C:C,"",0)</f>
        <v>GI</v>
      </c>
      <c r="D71" s="188">
        <v>0.42</v>
      </c>
      <c r="E71" s="188">
        <v>1200</v>
      </c>
      <c r="F71" s="188" t="s">
        <v>179</v>
      </c>
      <c r="G71" s="206">
        <v>861.24525737511</v>
      </c>
      <c r="H71" s="197" t="s">
        <v>184</v>
      </c>
      <c r="M71" s="188"/>
      <c r="S71" s="205"/>
      <c r="T71" s="205"/>
    </row>
    <row r="72" ht="13" spans="1:20">
      <c r="A72" s="205" t="str">
        <f>+_xlfn.XLOOKUP(B72,Tabla22[Lote],Tabla22[País],"",0)</f>
        <v>Perú Tupemesa</v>
      </c>
      <c r="B72" s="188" t="s">
        <v>94</v>
      </c>
      <c r="C72" s="198" t="str">
        <f>+_xlfn.XLOOKUP(B72,Datos!A:A,Datos!C:C,"",0)</f>
        <v>GI</v>
      </c>
      <c r="D72" s="188">
        <v>0.42</v>
      </c>
      <c r="E72" s="188">
        <v>1200</v>
      </c>
      <c r="F72" s="188" t="s">
        <v>185</v>
      </c>
      <c r="G72" s="206">
        <v>68.5388617837153</v>
      </c>
      <c r="H72" s="197" t="s">
        <v>184</v>
      </c>
      <c r="M72" s="188"/>
      <c r="S72" s="205"/>
      <c r="T72" s="205"/>
    </row>
    <row r="73" ht="13" spans="1:20">
      <c r="A73" s="205" t="str">
        <f>+_xlfn.XLOOKUP(B73,Tabla22[Lote],Tabla22[País],"",0)</f>
        <v>Perú Tupemesa</v>
      </c>
      <c r="B73" s="188" t="s">
        <v>94</v>
      </c>
      <c r="C73" s="198" t="str">
        <f>+_xlfn.XLOOKUP(B73,Datos!A:A,Datos!C:C,"",0)</f>
        <v>GI</v>
      </c>
      <c r="D73" s="188">
        <v>0.85</v>
      </c>
      <c r="E73" s="188">
        <v>1200</v>
      </c>
      <c r="F73" s="188" t="s">
        <v>179</v>
      </c>
      <c r="G73" s="206">
        <v>74.6598836887254</v>
      </c>
      <c r="H73" s="197" t="s">
        <v>186</v>
      </c>
      <c r="M73" s="188"/>
      <c r="S73" s="205"/>
      <c r="T73" s="205"/>
    </row>
    <row r="74" ht="13" spans="1:20">
      <c r="A74" s="205" t="str">
        <f>+_xlfn.XLOOKUP(B74,Tabla22[Lote],Tabla22[País],"",0)</f>
        <v>Perú Tupemesa</v>
      </c>
      <c r="B74" s="188" t="s">
        <v>94</v>
      </c>
      <c r="C74" s="198" t="s">
        <v>182</v>
      </c>
      <c r="D74" s="188">
        <v>0.28</v>
      </c>
      <c r="E74" s="188">
        <v>1145</v>
      </c>
      <c r="F74" s="188" t="s">
        <v>179</v>
      </c>
      <c r="G74" s="206">
        <v>52.5464738373844</v>
      </c>
      <c r="H74" s="197" t="s">
        <v>183</v>
      </c>
      <c r="I74" s="207"/>
      <c r="M74" s="188"/>
      <c r="S74" s="205"/>
      <c r="T74" s="205"/>
    </row>
    <row r="75" ht="13" spans="1:20">
      <c r="A75" s="205" t="str">
        <f>+_xlfn.XLOOKUP(B75,Tabla22[Lote],Tabla22[País],"",0)</f>
        <v>Perú Tupemesa</v>
      </c>
      <c r="B75" s="188" t="s">
        <v>94</v>
      </c>
      <c r="C75" s="198" t="s">
        <v>182</v>
      </c>
      <c r="D75" s="188">
        <v>0.42</v>
      </c>
      <c r="E75" s="188">
        <v>1200</v>
      </c>
      <c r="F75" s="188" t="s">
        <v>179</v>
      </c>
      <c r="G75" s="206">
        <v>861.24525737511</v>
      </c>
      <c r="H75" s="197" t="s">
        <v>184</v>
      </c>
      <c r="M75" s="188"/>
      <c r="S75" s="205"/>
      <c r="T75" s="205"/>
    </row>
    <row r="76" ht="13" spans="1:20">
      <c r="A76" s="205" t="str">
        <f>+_xlfn.XLOOKUP(B76,Tabla22[Lote],Tabla22[País],"",0)</f>
        <v>Perú Tupemesa</v>
      </c>
      <c r="B76" s="188" t="s">
        <v>94</v>
      </c>
      <c r="C76" s="198" t="s">
        <v>182</v>
      </c>
      <c r="D76" s="188">
        <v>0.42</v>
      </c>
      <c r="E76" s="188">
        <v>1200</v>
      </c>
      <c r="F76" s="188" t="s">
        <v>185</v>
      </c>
      <c r="G76" s="206">
        <v>68.5388617837153</v>
      </c>
      <c r="H76" s="197" t="s">
        <v>184</v>
      </c>
      <c r="M76" s="188"/>
      <c r="S76" s="205"/>
      <c r="T76" s="205"/>
    </row>
    <row r="77" ht="13" spans="1:20">
      <c r="A77" s="205" t="str">
        <f>+_xlfn.XLOOKUP(B77,Tabla22[Lote],Tabla22[País],"",0)</f>
        <v>Perú Tupemesa</v>
      </c>
      <c r="B77" s="188" t="s">
        <v>94</v>
      </c>
      <c r="C77" s="198" t="s">
        <v>182</v>
      </c>
      <c r="D77" s="188">
        <v>0.85</v>
      </c>
      <c r="E77" s="188">
        <v>1200</v>
      </c>
      <c r="F77" s="188" t="s">
        <v>179</v>
      </c>
      <c r="G77" s="206">
        <v>74.6598836887254</v>
      </c>
      <c r="H77" s="197" t="s">
        <v>186</v>
      </c>
      <c r="M77" s="188"/>
      <c r="S77" s="205"/>
      <c r="T77" s="205"/>
    </row>
    <row r="78" ht="13" spans="1:20">
      <c r="A78" s="205" t="str">
        <f>+_xlfn.XLOOKUP(B78,Tabla22[Lote],Tabla22[País],"",0)</f>
        <v>Perú Tupemesa</v>
      </c>
      <c r="B78" s="188" t="s">
        <v>35</v>
      </c>
      <c r="C78" s="198" t="str">
        <f>+_xlfn.XLOOKUP(B78,Datos!A:A,Datos!C:C,"",0)</f>
        <v>PPGL</v>
      </c>
      <c r="D78" s="188">
        <v>0.48</v>
      </c>
      <c r="E78" s="188">
        <v>1219</v>
      </c>
      <c r="F78" s="188" t="s">
        <v>187</v>
      </c>
      <c r="G78" s="206">
        <v>526.75696863505</v>
      </c>
      <c r="H78" s="197" t="s">
        <v>159</v>
      </c>
      <c r="M78" s="188"/>
      <c r="S78" s="205"/>
      <c r="T78" s="205"/>
    </row>
    <row r="79" ht="13" spans="1:20">
      <c r="A79" s="205" t="str">
        <f>+_xlfn.XLOOKUP(B79,Tabla22[Lote],Tabla22[País],"",0)</f>
        <v>Perú Tupemesa</v>
      </c>
      <c r="B79" s="188" t="s">
        <v>35</v>
      </c>
      <c r="C79" s="198" t="s">
        <v>169</v>
      </c>
      <c r="D79" s="188">
        <v>0.48</v>
      </c>
      <c r="E79" s="188">
        <v>1219</v>
      </c>
      <c r="F79" s="188" t="s">
        <v>187</v>
      </c>
      <c r="G79" s="206">
        <v>526.75696863505</v>
      </c>
      <c r="H79" s="197" t="s">
        <v>159</v>
      </c>
      <c r="M79" s="188"/>
      <c r="S79" s="205"/>
      <c r="T79" s="205"/>
    </row>
    <row r="80" ht="13" spans="1:20">
      <c r="A80" s="205" t="str">
        <f>+_xlfn.XLOOKUP(B80,Tabla22[Lote],Tabla22[País],"",0)</f>
        <v>Perú Tupemesa</v>
      </c>
      <c r="B80" s="188" t="s">
        <v>35</v>
      </c>
      <c r="C80" s="198" t="s">
        <v>170</v>
      </c>
      <c r="D80" s="188">
        <v>0.48</v>
      </c>
      <c r="E80" s="188">
        <v>1219</v>
      </c>
      <c r="F80" s="188" t="s">
        <v>187</v>
      </c>
      <c r="G80" s="206">
        <v>526.75696863505</v>
      </c>
      <c r="H80" s="197" t="s">
        <v>159</v>
      </c>
      <c r="M80" s="188"/>
      <c r="S80" s="205"/>
      <c r="T80" s="205"/>
    </row>
    <row r="81" ht="13" spans="1:20">
      <c r="A81" s="205" t="str">
        <f>+_xlfn.XLOOKUP(B81,Tabla22[Lote],Tabla22[País],"",0)</f>
        <v>Perú Tupemesa</v>
      </c>
      <c r="B81" s="188" t="s">
        <v>24</v>
      </c>
      <c r="C81" s="198" t="str">
        <f>+_xlfn.XLOOKUP(B81,Datos!A:A,Datos!C:C,"",0)</f>
        <v>ZA</v>
      </c>
      <c r="D81" s="188">
        <v>0.28</v>
      </c>
      <c r="E81" s="188">
        <v>1220</v>
      </c>
      <c r="F81" s="188" t="s">
        <v>188</v>
      </c>
      <c r="G81" s="206">
        <v>154.911229226844</v>
      </c>
      <c r="H81" s="197" t="s">
        <v>152</v>
      </c>
      <c r="M81" s="188"/>
      <c r="S81" s="205"/>
      <c r="T81" s="205"/>
    </row>
    <row r="82" ht="13" spans="1:20">
      <c r="A82" s="205" t="str">
        <f>+_xlfn.XLOOKUP(B82,Tabla22[Lote],Tabla22[País],"",0)</f>
        <v>Perú Tupemesa</v>
      </c>
      <c r="B82" s="188" t="s">
        <v>24</v>
      </c>
      <c r="C82" s="198" t="str">
        <f>+_xlfn.XLOOKUP(B82,Datos!A:A,Datos!C:C,"",0)</f>
        <v>ZA</v>
      </c>
      <c r="D82" s="188">
        <v>0.38</v>
      </c>
      <c r="E82" s="188">
        <v>1220</v>
      </c>
      <c r="F82" s="188" t="s">
        <v>188</v>
      </c>
      <c r="G82" s="206">
        <v>147.702335477659</v>
      </c>
      <c r="H82" s="197" t="s">
        <v>152</v>
      </c>
      <c r="M82" s="188"/>
      <c r="S82" s="205"/>
      <c r="T82" s="205"/>
    </row>
    <row r="83" ht="13" spans="1:20">
      <c r="G83" s="206">
        <f>+SUM(G3:G82)</f>
        <v>22194.5583984391</v>
      </c>
      <c r="M83" s="188"/>
      <c r="S83" s="205"/>
      <c r="T83" s="205"/>
    </row>
    <row r="84" spans="1:20">
      <c r="M84" s="188"/>
      <c r="S84" s="205"/>
      <c r="T84" s="205"/>
    </row>
    <row r="85" spans="1:20">
      <c r="M85" s="188"/>
      <c r="S85" s="205"/>
      <c r="T85" s="205"/>
    </row>
    <row r="86" spans="1:20">
      <c r="M86" s="188"/>
      <c r="S86" s="205"/>
      <c r="T86" s="205"/>
    </row>
    <row r="87" spans="1:20">
      <c r="M87" s="188"/>
      <c r="S87" s="205"/>
      <c r="T87" s="205"/>
    </row>
    <row r="88" spans="1:20">
      <c r="M88" s="188"/>
      <c r="S88" s="205"/>
      <c r="T88" s="205"/>
    </row>
    <row r="89" spans="1:20">
      <c r="M89" s="188"/>
      <c r="S89" s="205"/>
      <c r="T89" s="205"/>
    </row>
    <row r="90" spans="1:20">
      <c r="G90" s="208"/>
      <c r="H90" s="209"/>
      <c r="M90" s="188"/>
      <c r="S90" s="205"/>
      <c r="T90" s="205"/>
    </row>
    <row r="91" spans="1:20">
      <c r="M91" s="188"/>
      <c r="S91" s="205"/>
      <c r="T91" s="205"/>
    </row>
    <row r="92" spans="1:20">
      <c r="M92" s="188"/>
      <c r="S92" s="205"/>
      <c r="T92" s="205"/>
    </row>
    <row r="93" spans="1:20">
      <c r="M93" s="188"/>
      <c r="S93" s="205"/>
      <c r="T93" s="205"/>
    </row>
    <row r="94" spans="1:20">
      <c r="M94" s="188"/>
      <c r="S94" s="205"/>
      <c r="T94" s="205"/>
    </row>
    <row r="95" spans="1:20">
      <c r="M95" s="188"/>
      <c r="S95" s="205"/>
      <c r="T95" s="205"/>
    </row>
    <row r="96" spans="1:20">
      <c r="M96" s="188"/>
      <c r="S96" s="205"/>
      <c r="T96" s="205"/>
    </row>
    <row r="97" spans="13:20">
      <c r="M97" s="188"/>
      <c r="S97" s="205"/>
      <c r="T97" s="205"/>
    </row>
    <row r="98" spans="13:20">
      <c r="M98" s="188"/>
      <c r="S98" s="205"/>
      <c r="T98" s="205"/>
    </row>
    <row r="99" spans="13:20">
      <c r="M99" s="188"/>
      <c r="S99" s="205"/>
      <c r="T99" s="205"/>
    </row>
    <row r="100" spans="13:20">
      <c r="M100" s="188"/>
      <c r="S100" s="205"/>
      <c r="T100" s="205"/>
    </row>
    <row r="101" spans="13:20">
      <c r="M101" s="188"/>
      <c r="S101" s="205"/>
      <c r="T101" s="205"/>
    </row>
    <row r="102" spans="13:20">
      <c r="M102" s="188"/>
      <c r="S102" s="205"/>
      <c r="T102" s="205"/>
    </row>
    <row r="103" spans="13:20">
      <c r="M103" s="188"/>
      <c r="S103" s="205"/>
      <c r="T103" s="205"/>
    </row>
    <row r="104" spans="13:20">
      <c r="M104" s="188"/>
      <c r="S104" s="205"/>
      <c r="T104" s="205"/>
    </row>
    <row r="105" spans="13:20">
      <c r="M105" s="188"/>
      <c r="S105" s="205"/>
      <c r="T105" s="205"/>
    </row>
    <row r="106" spans="13:20">
      <c r="M106" s="188"/>
      <c r="S106" s="205"/>
      <c r="T106" s="205"/>
    </row>
    <row r="107" spans="13:20">
      <c r="M107" s="188"/>
      <c r="S107" s="205"/>
      <c r="T107" s="205"/>
    </row>
    <row r="108" spans="13:20">
      <c r="M108" s="188"/>
      <c r="S108" s="205"/>
      <c r="T108" s="205"/>
    </row>
    <row r="109" spans="13:20">
      <c r="M109" s="188"/>
      <c r="S109" s="205"/>
      <c r="T109" s="205"/>
    </row>
    <row r="110" spans="13:20">
      <c r="M110" s="188"/>
      <c r="S110" s="205"/>
      <c r="T110" s="205"/>
    </row>
    <row r="111" spans="13:20">
      <c r="M111" s="188"/>
      <c r="S111" s="205"/>
      <c r="T111" s="205"/>
    </row>
    <row r="112" spans="13:20">
      <c r="M112" s="188"/>
      <c r="S112" s="205"/>
      <c r="T112" s="205"/>
    </row>
    <row r="113" spans="13:20">
      <c r="M113" s="188"/>
      <c r="S113" s="205"/>
      <c r="T113" s="205"/>
    </row>
    <row r="114" spans="13:20">
      <c r="M114" s="188"/>
      <c r="S114" s="205"/>
      <c r="T114" s="205"/>
    </row>
    <row r="115" spans="13:20">
      <c r="M115" s="188"/>
      <c r="S115" s="205"/>
      <c r="T115" s="205"/>
    </row>
    <row r="116" spans="13:20">
      <c r="M116" s="188"/>
      <c r="S116" s="205"/>
      <c r="T116" s="205"/>
    </row>
    <row r="117" spans="13:20">
      <c r="M117" s="188"/>
      <c r="S117" s="205"/>
      <c r="T117" s="205"/>
    </row>
    <row r="118" spans="13:20">
      <c r="M118" s="188"/>
      <c r="S118" s="205"/>
      <c r="T118" s="205"/>
    </row>
    <row r="119" spans="13:20">
      <c r="M119" s="188"/>
      <c r="S119" s="205"/>
      <c r="T119" s="205"/>
    </row>
    <row r="120" spans="13:20">
      <c r="M120" s="188"/>
      <c r="S120" s="205"/>
      <c r="T120" s="205"/>
    </row>
    <row r="121" spans="13:20">
      <c r="M121" s="188"/>
      <c r="S121" s="205"/>
      <c r="T121" s="205"/>
    </row>
    <row r="122" spans="13:20">
      <c r="M122" s="188"/>
      <c r="S122" s="205"/>
      <c r="T122" s="205"/>
    </row>
    <row r="123" spans="13:20">
      <c r="M123" s="188"/>
      <c r="S123" s="205"/>
      <c r="T123" s="205"/>
    </row>
    <row r="124" spans="13:20">
      <c r="M124" s="188"/>
      <c r="S124" s="205"/>
      <c r="T124" s="205"/>
    </row>
    <row r="125" spans="13:20">
      <c r="M125" s="188"/>
      <c r="S125" s="205"/>
      <c r="T125" s="205"/>
    </row>
    <row r="126" spans="13:20">
      <c r="M126" s="188"/>
      <c r="S126" s="205"/>
      <c r="T126" s="205"/>
    </row>
    <row r="127" spans="13:20">
      <c r="M127" s="188"/>
      <c r="S127" s="205"/>
      <c r="T127" s="205"/>
    </row>
    <row r="128" spans="13:20">
      <c r="M128" s="188"/>
      <c r="S128" s="205"/>
      <c r="T128" s="205"/>
    </row>
    <row r="129" spans="13:20">
      <c r="M129" s="188"/>
      <c r="S129" s="205"/>
      <c r="T129" s="205"/>
    </row>
    <row r="130" spans="13:20">
      <c r="M130" s="188"/>
      <c r="S130" s="205"/>
      <c r="T130" s="205"/>
    </row>
    <row r="131" spans="13:20">
      <c r="M131" s="188"/>
      <c r="S131" s="205"/>
      <c r="T131" s="205"/>
    </row>
    <row r="132" spans="13:20">
      <c r="M132" s="188"/>
      <c r="S132" s="205"/>
      <c r="T132" s="205"/>
    </row>
    <row r="133" spans="13:20">
      <c r="M133" s="188"/>
      <c r="S133" s="205"/>
      <c r="T133" s="205"/>
    </row>
    <row r="134" spans="13:20">
      <c r="M134" s="188"/>
      <c r="S134" s="205"/>
      <c r="T134" s="205"/>
    </row>
    <row r="135" spans="13:20">
      <c r="M135" s="188"/>
      <c r="S135" s="205"/>
      <c r="T135" s="205"/>
    </row>
    <row r="136" spans="13:20">
      <c r="M136" s="188"/>
      <c r="S136" s="205"/>
      <c r="T136" s="205"/>
    </row>
    <row r="137" spans="13:20">
      <c r="M137" s="188"/>
      <c r="S137" s="205"/>
      <c r="T137" s="205"/>
    </row>
    <row r="138" spans="13:20">
      <c r="M138" s="188"/>
      <c r="S138" s="205"/>
      <c r="T138" s="205"/>
    </row>
    <row r="139" spans="13:20">
      <c r="M139" s="188"/>
      <c r="S139" s="205"/>
      <c r="T139" s="205"/>
    </row>
    <row r="140" spans="13:20">
      <c r="M140" s="188"/>
      <c r="S140" s="205"/>
      <c r="T140" s="205"/>
    </row>
    <row r="141" spans="13:20">
      <c r="M141" s="188"/>
      <c r="S141" s="205"/>
      <c r="T141" s="205"/>
    </row>
    <row r="142" spans="13:20">
      <c r="M142" s="188"/>
      <c r="S142" s="205"/>
      <c r="T142" s="205"/>
    </row>
    <row r="143" spans="13:20">
      <c r="M143" s="188"/>
      <c r="S143" s="205"/>
      <c r="T143" s="205"/>
    </row>
    <row r="144" spans="13:20">
      <c r="M144" s="188"/>
      <c r="S144" s="205"/>
      <c r="T144" s="205"/>
    </row>
    <row r="145" spans="13:20">
      <c r="M145" s="188"/>
      <c r="S145" s="205"/>
      <c r="T145" s="205"/>
    </row>
    <row r="146" spans="13:20">
      <c r="M146" s="188"/>
      <c r="S146" s="205"/>
      <c r="T146" s="205"/>
    </row>
    <row r="147" spans="13:20">
      <c r="M147" s="188"/>
      <c r="S147" s="205"/>
      <c r="T147" s="205"/>
    </row>
    <row r="148" spans="13:20">
      <c r="M148" s="188"/>
      <c r="S148" s="205"/>
      <c r="T148" s="205"/>
    </row>
    <row r="149" spans="13:20">
      <c r="M149" s="188"/>
      <c r="S149" s="205"/>
      <c r="T149" s="205"/>
    </row>
    <row r="150" spans="13:20">
      <c r="M150" s="188"/>
      <c r="S150" s="205"/>
      <c r="T150" s="205"/>
    </row>
    <row r="151" spans="13:20">
      <c r="M151" s="188"/>
      <c r="S151" s="205"/>
      <c r="T151" s="205"/>
    </row>
    <row r="152" spans="13:20">
      <c r="M152" s="188"/>
      <c r="S152" s="205"/>
      <c r="T152" s="205"/>
    </row>
    <row r="153" spans="13:20">
      <c r="M153" s="188"/>
      <c r="S153" s="205"/>
      <c r="T153" s="205"/>
    </row>
    <row r="154" spans="13:20">
      <c r="M154" s="188"/>
      <c r="S154" s="205"/>
      <c r="T154" s="205"/>
    </row>
    <row r="155" spans="13:20">
      <c r="M155" s="188"/>
      <c r="S155" s="205"/>
      <c r="T155" s="205"/>
    </row>
    <row r="156" spans="13:20">
      <c r="M156" s="188"/>
      <c r="S156" s="205"/>
      <c r="T156" s="205"/>
    </row>
    <row r="157" spans="13:20">
      <c r="M157" s="188"/>
      <c r="S157" s="205"/>
      <c r="T157" s="205"/>
    </row>
    <row r="158" spans="13:20">
      <c r="M158" s="188"/>
      <c r="S158" s="205"/>
      <c r="T158" s="205"/>
    </row>
    <row r="159" spans="13:20">
      <c r="M159" s="188"/>
      <c r="S159" s="205"/>
      <c r="T159" s="205"/>
    </row>
    <row r="160" spans="13:20">
      <c r="M160" s="188"/>
      <c r="S160" s="205"/>
      <c r="T160" s="205"/>
    </row>
    <row r="161" spans="13:20">
      <c r="M161" s="188"/>
      <c r="S161" s="205"/>
      <c r="T161" s="205"/>
    </row>
    <row r="162" spans="13:20">
      <c r="M162" s="188"/>
      <c r="S162" s="205"/>
      <c r="T162" s="205"/>
    </row>
    <row r="163" spans="13:20">
      <c r="M163" s="188"/>
      <c r="S163" s="205"/>
      <c r="T163" s="205"/>
    </row>
    <row r="164" spans="13:20">
      <c r="M164" s="188"/>
      <c r="S164" s="205"/>
      <c r="T164" s="205"/>
    </row>
    <row r="165" spans="13:20">
      <c r="M165" s="188"/>
      <c r="S165" s="205"/>
      <c r="T165" s="205"/>
    </row>
    <row r="166" spans="13:20">
      <c r="M166" s="188"/>
      <c r="S166" s="205"/>
      <c r="T166" s="205"/>
    </row>
    <row r="167" spans="13:20">
      <c r="M167" s="188"/>
      <c r="S167" s="205"/>
      <c r="T167" s="205"/>
    </row>
    <row r="168" spans="13:20">
      <c r="M168" s="188"/>
      <c r="S168" s="205"/>
      <c r="T168" s="205"/>
    </row>
    <row r="169" spans="13:20">
      <c r="M169" s="188"/>
      <c r="S169" s="205"/>
      <c r="T169" s="205"/>
    </row>
    <row r="170" spans="13:20">
      <c r="M170" s="188"/>
      <c r="S170" s="205"/>
      <c r="T170" s="205"/>
    </row>
    <row r="171" spans="13:20">
      <c r="M171" s="188"/>
      <c r="S171" s="205"/>
      <c r="T171" s="205"/>
    </row>
    <row r="172" spans="13:20">
      <c r="M172" s="188"/>
      <c r="S172" s="205"/>
      <c r="T172" s="205"/>
    </row>
    <row r="173" spans="13:20">
      <c r="M173" s="188"/>
      <c r="S173" s="205"/>
      <c r="T173" s="205"/>
    </row>
    <row r="174" spans="13:20">
      <c r="M174" s="188"/>
      <c r="S174" s="205"/>
      <c r="T174" s="205"/>
    </row>
    <row r="175" spans="13:20">
      <c r="M175" s="188"/>
      <c r="S175" s="205"/>
      <c r="T175" s="205"/>
    </row>
    <row r="176" spans="13:20">
      <c r="M176" s="188"/>
      <c r="S176" s="205"/>
      <c r="T176" s="205"/>
    </row>
    <row r="177" spans="13:20">
      <c r="M177" s="188"/>
      <c r="S177" s="205"/>
      <c r="T177" s="205"/>
    </row>
    <row r="178" spans="13:20">
      <c r="M178" s="188"/>
      <c r="S178" s="205"/>
      <c r="T178" s="205"/>
    </row>
    <row r="179" spans="13:20">
      <c r="M179" s="188"/>
      <c r="S179" s="205"/>
      <c r="T179" s="205"/>
    </row>
    <row r="180" spans="13:20">
      <c r="M180" s="188"/>
      <c r="S180" s="205"/>
      <c r="T180" s="205"/>
    </row>
    <row r="181" spans="13:20">
      <c r="M181" s="188"/>
      <c r="S181" s="205"/>
      <c r="T181" s="205"/>
    </row>
    <row r="182" spans="13:20">
      <c r="M182" s="188"/>
      <c r="S182" s="205"/>
      <c r="T182" s="205"/>
    </row>
    <row r="183" spans="13:20">
      <c r="M183" s="188"/>
      <c r="S183" s="205"/>
      <c r="T183" s="205"/>
    </row>
    <row r="184" spans="13:20">
      <c r="M184" s="188"/>
      <c r="S184" s="205"/>
      <c r="T184" s="205"/>
    </row>
    <row r="185" spans="13:20">
      <c r="M185" s="188"/>
      <c r="S185" s="205"/>
      <c r="T185" s="205"/>
    </row>
    <row r="186" spans="13:20">
      <c r="M186" s="188"/>
      <c r="S186" s="205"/>
      <c r="T186" s="205"/>
    </row>
    <row r="187" spans="13:20">
      <c r="M187" s="188"/>
      <c r="S187" s="205"/>
      <c r="T187" s="205"/>
    </row>
    <row r="188" spans="13:20">
      <c r="M188" s="188"/>
      <c r="S188" s="205"/>
      <c r="T188" s="205"/>
    </row>
    <row r="189" spans="13:20">
      <c r="M189" s="188"/>
      <c r="S189" s="205"/>
      <c r="T189" s="205"/>
    </row>
    <row r="190" spans="13:20">
      <c r="M190" s="188"/>
      <c r="S190" s="205"/>
      <c r="T190" s="205"/>
    </row>
    <row r="191" spans="13:20">
      <c r="M191" s="188"/>
      <c r="S191" s="205"/>
      <c r="T191" s="205"/>
    </row>
    <row r="192" spans="13:20">
      <c r="M192" s="188"/>
      <c r="S192" s="205"/>
      <c r="T192" s="205"/>
    </row>
    <row r="193" spans="13:20">
      <c r="M193" s="188"/>
      <c r="S193" s="205"/>
      <c r="T193" s="205"/>
    </row>
    <row r="194" spans="13:20">
      <c r="M194" s="188"/>
      <c r="S194" s="205"/>
      <c r="T194" s="205"/>
    </row>
    <row r="195" spans="13:20">
      <c r="M195" s="188"/>
      <c r="S195" s="205"/>
      <c r="T195" s="205"/>
    </row>
    <row r="196" spans="13:20">
      <c r="M196" s="188"/>
      <c r="S196" s="205"/>
      <c r="T196" s="205"/>
    </row>
    <row r="197" spans="13:20">
      <c r="M197" s="188"/>
      <c r="S197" s="205"/>
      <c r="T197" s="205"/>
    </row>
    <row r="198" spans="13:20">
      <c r="M198" s="188"/>
      <c r="S198" s="205"/>
      <c r="T198" s="205"/>
    </row>
    <row r="199" spans="13:20">
      <c r="M199" s="188"/>
      <c r="S199" s="205"/>
      <c r="T199" s="205"/>
    </row>
    <row r="200" spans="13:20">
      <c r="M200" s="188"/>
      <c r="S200" s="205"/>
      <c r="T200" s="205"/>
    </row>
    <row r="201" spans="13:20">
      <c r="M201" s="188"/>
      <c r="S201" s="205"/>
      <c r="T201" s="205"/>
    </row>
    <row r="202" spans="13:20">
      <c r="M202" s="188"/>
      <c r="S202" s="205"/>
      <c r="T202" s="205"/>
    </row>
    <row r="203" spans="13:20">
      <c r="M203" s="188"/>
      <c r="S203" s="205"/>
      <c r="T203" s="205"/>
    </row>
    <row r="204" spans="13:20">
      <c r="M204" s="188"/>
      <c r="S204" s="205"/>
      <c r="T204" s="205"/>
    </row>
    <row r="205" spans="13:20">
      <c r="M205" s="188"/>
      <c r="S205" s="205"/>
      <c r="T205" s="205"/>
    </row>
    <row r="206" spans="13:20">
      <c r="M206" s="188"/>
      <c r="S206" s="205"/>
      <c r="T206" s="205"/>
    </row>
    <row r="207" spans="13:20">
      <c r="M207" s="188"/>
      <c r="S207" s="205"/>
      <c r="T207" s="205"/>
    </row>
    <row r="208" spans="13:20">
      <c r="M208" s="188"/>
      <c r="S208" s="205"/>
      <c r="T208" s="205"/>
    </row>
    <row r="209" spans="9:20">
      <c r="M209" s="188"/>
      <c r="S209" s="205"/>
      <c r="T209" s="205"/>
    </row>
    <row r="210" spans="9:20">
      <c r="M210" s="188"/>
      <c r="S210" s="205"/>
      <c r="T210" s="205"/>
    </row>
    <row r="211" spans="9:20">
      <c r="M211" s="188"/>
      <c r="S211" s="205"/>
      <c r="T211" s="205"/>
    </row>
    <row r="212" spans="9:20">
      <c r="M212" s="188"/>
      <c r="S212" s="205"/>
      <c r="T212" s="205"/>
    </row>
    <row r="213" spans="9:20">
      <c r="M213" s="188"/>
      <c r="S213" s="205"/>
      <c r="T213" s="205"/>
    </row>
    <row r="214" spans="9:20">
      <c r="M214" s="188"/>
      <c r="S214" s="205"/>
      <c r="T214" s="205"/>
    </row>
    <row r="215" spans="9:20">
      <c r="M215" s="188"/>
      <c r="S215" s="205"/>
      <c r="T215" s="205"/>
    </row>
    <row r="216" spans="9:20">
      <c r="M216" s="188"/>
      <c r="S216" s="205"/>
      <c r="T216" s="205"/>
    </row>
    <row r="217" spans="9:20">
      <c r="M217" s="188"/>
      <c r="S217" s="205"/>
      <c r="T217" s="205"/>
    </row>
    <row r="218" spans="9:20">
      <c r="M218" s="188"/>
      <c r="S218" s="205"/>
      <c r="T218" s="205"/>
    </row>
    <row r="219" spans="9:20">
      <c r="M219" s="188"/>
      <c r="S219" s="205"/>
      <c r="T219" s="205"/>
    </row>
    <row r="220" spans="9:20">
      <c r="M220" s="188"/>
      <c r="S220" s="205"/>
      <c r="T220" s="205"/>
    </row>
    <row r="221" spans="9:20">
      <c r="M221" s="188"/>
      <c r="S221" s="205"/>
      <c r="T221" s="205"/>
    </row>
    <row r="222" spans="9:20">
      <c r="M222" s="188"/>
      <c r="S222" s="205"/>
      <c r="T222" s="205"/>
    </row>
    <row r="223" spans="9:20">
      <c r="I223" s="207"/>
      <c r="M223" s="188"/>
      <c r="S223" s="205"/>
      <c r="T223" s="205"/>
    </row>
    <row r="224" spans="9:20">
      <c r="M224" s="188"/>
      <c r="S224" s="205"/>
      <c r="T224" s="205"/>
    </row>
    <row r="225" spans="7:20">
      <c r="M225" s="188"/>
      <c r="S225" s="205"/>
      <c r="T225" s="205"/>
    </row>
    <row r="226" spans="7:20">
      <c r="M226" s="188"/>
      <c r="S226" s="205"/>
      <c r="T226" s="205"/>
    </row>
    <row r="227" spans="7:20">
      <c r="M227" s="188"/>
      <c r="S227" s="205"/>
      <c r="T227" s="205"/>
    </row>
    <row r="228" spans="7:20">
      <c r="M228" s="188"/>
      <c r="S228" s="205"/>
      <c r="T228" s="205"/>
    </row>
    <row r="229" spans="7:20">
      <c r="M229" s="188"/>
      <c r="S229" s="205"/>
      <c r="T229" s="205"/>
    </row>
    <row r="230" spans="7:20">
      <c r="M230" s="188"/>
      <c r="S230" s="205"/>
      <c r="T230" s="205"/>
    </row>
    <row r="231" spans="7:20">
      <c r="M231" s="188"/>
      <c r="S231" s="205"/>
      <c r="T231" s="205"/>
    </row>
    <row r="232" spans="7:20">
      <c r="M232" s="188"/>
      <c r="S232" s="191"/>
      <c r="T232" s="191"/>
    </row>
    <row r="233" spans="7:20">
      <c r="G233" s="208"/>
      <c r="H233" s="209"/>
      <c r="M233" s="188"/>
      <c r="S233" s="205"/>
      <c r="T233" s="205"/>
    </row>
    <row r="234" spans="7:20">
      <c r="M234" s="188"/>
      <c r="S234" s="205"/>
      <c r="T234" s="205"/>
    </row>
    <row r="235" spans="7:20">
      <c r="M235" s="188"/>
      <c r="S235" s="205"/>
      <c r="T235" s="205"/>
    </row>
    <row r="236" spans="7:20">
      <c r="M236" s="188"/>
      <c r="S236" s="205"/>
      <c r="T236" s="205"/>
    </row>
    <row r="237" spans="7:20">
      <c r="M237" s="188"/>
      <c r="S237" s="205"/>
      <c r="T237" s="205"/>
    </row>
    <row r="238" spans="7:20">
      <c r="M238" s="188"/>
      <c r="S238" s="205"/>
      <c r="T238" s="205"/>
    </row>
    <row r="239" spans="7:20">
      <c r="M239" s="188"/>
      <c r="S239" s="205"/>
      <c r="T239" s="205"/>
    </row>
    <row r="240" spans="7:20">
      <c r="M240" s="188"/>
      <c r="S240" s="205"/>
      <c r="T240" s="205"/>
    </row>
    <row r="241" spans="9:20">
      <c r="M241" s="188"/>
      <c r="S241" s="205"/>
      <c r="T241" s="205"/>
    </row>
    <row r="242" spans="9:20">
      <c r="M242" s="188"/>
      <c r="S242" s="205"/>
      <c r="T242" s="205"/>
    </row>
    <row r="243" spans="9:20">
      <c r="M243" s="188"/>
      <c r="S243" s="205"/>
      <c r="T243" s="205"/>
    </row>
    <row r="244" spans="9:20">
      <c r="M244" s="188"/>
      <c r="S244" s="205"/>
      <c r="T244" s="205"/>
    </row>
    <row r="245" spans="9:20">
      <c r="M245" s="188"/>
      <c r="S245" s="205"/>
      <c r="T245" s="205"/>
    </row>
    <row r="246" spans="9:20">
      <c r="M246" s="188"/>
      <c r="S246" s="205"/>
      <c r="T246" s="205"/>
    </row>
    <row r="247" spans="9:20">
      <c r="I247" s="207"/>
      <c r="M247" s="188"/>
      <c r="S247" s="205"/>
      <c r="T247" s="205"/>
    </row>
    <row r="248" spans="9:20">
      <c r="M248" s="188"/>
      <c r="S248" s="205"/>
      <c r="T248" s="205"/>
    </row>
    <row r="249" spans="9:20">
      <c r="M249" s="188"/>
      <c r="S249" s="205"/>
      <c r="T249" s="205"/>
    </row>
    <row r="250" spans="9:20">
      <c r="M250" s="188"/>
      <c r="S250" s="205"/>
      <c r="T250" s="205"/>
    </row>
    <row r="251" spans="9:20">
      <c r="M251" s="188"/>
      <c r="S251" s="205"/>
      <c r="T251" s="205"/>
    </row>
    <row r="252" spans="9:20">
      <c r="M252" s="188"/>
      <c r="S252" s="205"/>
      <c r="T252" s="205"/>
    </row>
    <row r="253" spans="9:20">
      <c r="M253" s="188"/>
      <c r="S253" s="205"/>
      <c r="T253" s="205"/>
    </row>
    <row r="254" spans="9:20">
      <c r="M254" s="188"/>
      <c r="S254" s="205"/>
      <c r="T254" s="205"/>
    </row>
    <row r="255" spans="9:20">
      <c r="M255" s="188"/>
      <c r="S255" s="205"/>
      <c r="T255" s="205"/>
    </row>
    <row r="256" spans="9:20">
      <c r="M256" s="188"/>
      <c r="S256" s="205"/>
      <c r="T256" s="205"/>
    </row>
    <row r="257" spans="7:20">
      <c r="G257" s="208"/>
      <c r="H257" s="209"/>
      <c r="M257" s="188"/>
      <c r="S257" s="205"/>
      <c r="T257" s="205"/>
    </row>
    <row r="258" spans="7:20">
      <c r="M258" s="188"/>
      <c r="S258" s="205"/>
      <c r="T258" s="205"/>
    </row>
    <row r="259" spans="7:20">
      <c r="M259" s="188"/>
      <c r="S259" s="205"/>
      <c r="T259" s="205"/>
    </row>
    <row r="260" spans="7:20">
      <c r="M260" s="188"/>
      <c r="S260" s="205"/>
      <c r="T260" s="205"/>
    </row>
    <row r="261" spans="7:20">
      <c r="M261" s="188"/>
      <c r="S261" s="205"/>
      <c r="T261" s="205"/>
    </row>
    <row r="262" spans="7:20">
      <c r="M262" s="188"/>
      <c r="S262" s="205"/>
      <c r="T262" s="205"/>
    </row>
    <row r="263" spans="7:20">
      <c r="M263" s="188"/>
      <c r="S263" s="205"/>
      <c r="T263" s="205"/>
    </row>
    <row r="264" spans="7:20">
      <c r="M264" s="188"/>
      <c r="S264" s="205"/>
      <c r="T264" s="205"/>
    </row>
    <row r="265" spans="7:20">
      <c r="M265" s="188"/>
      <c r="S265" s="205"/>
      <c r="T265" s="205"/>
    </row>
    <row r="266" spans="7:20">
      <c r="M266" s="188"/>
      <c r="S266" s="205"/>
      <c r="T266" s="205"/>
    </row>
    <row r="267" spans="7:20">
      <c r="M267" s="188"/>
      <c r="S267" s="205"/>
      <c r="T267" s="205"/>
    </row>
    <row r="268" spans="7:20">
      <c r="M268" s="188"/>
      <c r="S268" s="205"/>
      <c r="T268" s="205"/>
    </row>
    <row r="269" spans="7:20">
      <c r="M269" s="188"/>
      <c r="S269" s="205"/>
      <c r="T269" s="205"/>
    </row>
    <row r="270" spans="7:20">
      <c r="M270" s="188"/>
      <c r="S270" s="205"/>
      <c r="T270" s="205"/>
    </row>
    <row r="271" spans="7:20">
      <c r="M271" s="188"/>
      <c r="S271" s="205"/>
      <c r="T271" s="205"/>
    </row>
    <row r="272" spans="7:20">
      <c r="M272" s="188"/>
      <c r="S272" s="205"/>
      <c r="T272" s="205"/>
    </row>
    <row r="273" spans="13:20">
      <c r="M273" s="188"/>
      <c r="S273" s="205"/>
      <c r="T273" s="205"/>
    </row>
    <row r="274" spans="13:20">
      <c r="M274" s="188"/>
      <c r="S274" s="205"/>
      <c r="T274" s="205"/>
    </row>
    <row r="275" spans="13:20">
      <c r="M275" s="188"/>
      <c r="S275" s="205"/>
      <c r="T275" s="205"/>
    </row>
    <row r="276" spans="13:20">
      <c r="M276" s="188"/>
      <c r="S276" s="205"/>
      <c r="T276" s="205"/>
    </row>
    <row r="277" spans="13:20">
      <c r="M277" s="188"/>
      <c r="S277" s="205"/>
      <c r="T277" s="205"/>
    </row>
    <row r="278" spans="13:20">
      <c r="M278" s="188"/>
      <c r="S278" s="205"/>
      <c r="T278" s="205"/>
    </row>
    <row r="279" spans="13:20">
      <c r="M279" s="188"/>
      <c r="S279" s="205"/>
      <c r="T279" s="205"/>
    </row>
    <row r="280" spans="13:20">
      <c r="M280" s="188"/>
      <c r="S280" s="205"/>
      <c r="T280" s="205"/>
    </row>
    <row r="281" spans="13:20">
      <c r="M281" s="188"/>
      <c r="S281" s="205"/>
      <c r="T281" s="205"/>
    </row>
    <row r="282" spans="13:20">
      <c r="M282" s="188"/>
      <c r="S282" s="205"/>
      <c r="T282" s="205"/>
    </row>
    <row r="283" spans="13:20">
      <c r="M283" s="188"/>
      <c r="S283" s="205"/>
      <c r="T283" s="205"/>
    </row>
    <row r="284" spans="13:20">
      <c r="M284" s="188"/>
      <c r="S284" s="205"/>
      <c r="T284" s="205"/>
    </row>
    <row r="285" spans="13:20">
      <c r="M285" s="188"/>
      <c r="S285" s="205"/>
      <c r="T285" s="205"/>
    </row>
    <row r="286" spans="13:20">
      <c r="M286" s="188"/>
      <c r="S286" s="205"/>
      <c r="T286" s="205"/>
    </row>
    <row r="287" spans="13:20">
      <c r="M287" s="188"/>
      <c r="S287" s="205"/>
      <c r="T287" s="205"/>
    </row>
    <row r="288" spans="13:20">
      <c r="M288" s="188"/>
      <c r="S288" s="205"/>
      <c r="T288" s="205"/>
    </row>
    <row r="289" spans="13:20">
      <c r="M289" s="188"/>
      <c r="S289" s="205"/>
      <c r="T289" s="205"/>
    </row>
    <row r="290" spans="13:20">
      <c r="M290" s="188"/>
      <c r="S290" s="205"/>
      <c r="T290" s="205"/>
    </row>
    <row r="291" spans="13:20">
      <c r="M291" s="188"/>
      <c r="S291" s="205"/>
      <c r="T291" s="205"/>
    </row>
    <row r="292" spans="13:20">
      <c r="M292" s="188"/>
      <c r="S292" s="205"/>
      <c r="T292" s="205"/>
    </row>
    <row r="293" spans="13:20">
      <c r="M293" s="188"/>
      <c r="S293" s="205"/>
      <c r="T293" s="205"/>
    </row>
    <row r="294" spans="13:20">
      <c r="M294" s="188"/>
      <c r="S294" s="205"/>
      <c r="T294" s="205"/>
    </row>
    <row r="295" spans="13:20">
      <c r="M295" s="188"/>
      <c r="S295" s="205"/>
      <c r="T295" s="205"/>
    </row>
    <row r="296" spans="13:20">
      <c r="M296" s="188"/>
      <c r="S296" s="205"/>
      <c r="T296" s="205"/>
    </row>
    <row r="297" spans="13:20">
      <c r="M297" s="188"/>
      <c r="S297" s="205"/>
      <c r="T297" s="205"/>
    </row>
    <row r="298" spans="13:20">
      <c r="M298" s="188"/>
      <c r="S298" s="205"/>
      <c r="T298" s="205"/>
    </row>
    <row r="299" spans="13:20">
      <c r="M299" s="188"/>
      <c r="S299" s="205"/>
      <c r="T299" s="205"/>
    </row>
    <row r="300" spans="13:20">
      <c r="M300" s="188"/>
      <c r="S300" s="205"/>
      <c r="T300" s="205"/>
    </row>
    <row r="301" spans="13:20">
      <c r="M301" s="188"/>
      <c r="S301" s="205"/>
      <c r="T301" s="205"/>
    </row>
    <row r="302" spans="13:20">
      <c r="M302" s="188"/>
      <c r="S302" s="205"/>
      <c r="T302" s="205"/>
    </row>
    <row r="303" spans="13:20">
      <c r="M303" s="188"/>
      <c r="S303" s="205"/>
      <c r="T303" s="205"/>
    </row>
    <row r="304" spans="13:20">
      <c r="M304" s="188"/>
      <c r="S304" s="205"/>
      <c r="T304" s="205"/>
    </row>
    <row r="305" spans="13:20">
      <c r="M305" s="188"/>
      <c r="S305" s="205"/>
      <c r="T305" s="205"/>
    </row>
    <row r="306" spans="13:20">
      <c r="M306" s="188"/>
      <c r="S306" s="205"/>
      <c r="T306" s="205"/>
    </row>
    <row r="307" spans="13:20">
      <c r="M307" s="188"/>
      <c r="S307" s="205"/>
      <c r="T307" s="205"/>
    </row>
    <row r="308" spans="13:20">
      <c r="M308" s="188"/>
      <c r="S308" s="205"/>
      <c r="T308" s="205"/>
    </row>
    <row r="309" spans="13:20">
      <c r="M309" s="188"/>
      <c r="S309" s="205"/>
      <c r="T309" s="205"/>
    </row>
    <row r="310" spans="13:20">
      <c r="M310" s="188"/>
      <c r="S310" s="205"/>
      <c r="T310" s="205"/>
    </row>
    <row r="311" spans="13:20">
      <c r="M311" s="188"/>
      <c r="S311" s="205"/>
      <c r="T311" s="205"/>
    </row>
    <row r="312" spans="13:20">
      <c r="M312" s="188"/>
      <c r="S312" s="205"/>
      <c r="T312" s="205"/>
    </row>
    <row r="313" spans="13:20">
      <c r="M313" s="188"/>
      <c r="S313" s="205"/>
      <c r="T313" s="205"/>
    </row>
    <row r="314" spans="13:20">
      <c r="M314" s="188"/>
      <c r="S314" s="205"/>
      <c r="T314" s="205"/>
    </row>
    <row r="315" spans="13:20">
      <c r="M315" s="188"/>
      <c r="S315" s="205"/>
      <c r="T315" s="205"/>
    </row>
    <row r="316" spans="13:20">
      <c r="M316" s="188"/>
      <c r="S316" s="205"/>
      <c r="T316" s="205"/>
    </row>
    <row r="317" spans="13:20">
      <c r="M317" s="188"/>
      <c r="S317" s="205"/>
      <c r="T317" s="205"/>
    </row>
    <row r="318" spans="13:20">
      <c r="M318" s="188"/>
      <c r="S318" s="205"/>
      <c r="T318" s="205"/>
    </row>
    <row r="319" spans="13:20">
      <c r="M319" s="188"/>
      <c r="S319" s="205"/>
      <c r="T319" s="205"/>
    </row>
    <row r="320" spans="13:20">
      <c r="M320" s="188"/>
      <c r="S320" s="205"/>
      <c r="T320" s="205"/>
    </row>
    <row r="321" spans="13:20">
      <c r="M321" s="188"/>
      <c r="S321" s="205"/>
      <c r="T321" s="205"/>
    </row>
    <row r="322" spans="13:20">
      <c r="M322" s="188"/>
      <c r="S322" s="205"/>
      <c r="T322" s="205"/>
    </row>
    <row r="323" spans="13:20">
      <c r="M323" s="188"/>
      <c r="S323" s="205"/>
      <c r="T323" s="205"/>
    </row>
    <row r="324" spans="13:20">
      <c r="M324" s="188"/>
      <c r="S324" s="205"/>
      <c r="T324" s="205"/>
    </row>
    <row r="325" spans="13:20">
      <c r="M325" s="188"/>
      <c r="S325" s="205"/>
      <c r="T325" s="205"/>
    </row>
    <row r="326" spans="13:20">
      <c r="M326" s="188"/>
      <c r="S326" s="205"/>
      <c r="T326" s="205"/>
    </row>
    <row r="327" spans="13:20">
      <c r="M327" s="188"/>
      <c r="S327" s="205"/>
      <c r="T327" s="205"/>
    </row>
    <row r="328" spans="13:20">
      <c r="M328" s="188"/>
      <c r="S328" s="205"/>
      <c r="T328" s="205"/>
    </row>
    <row r="329" spans="13:20">
      <c r="M329" s="188"/>
      <c r="S329" s="205"/>
      <c r="T329" s="205"/>
    </row>
    <row r="330" spans="13:20">
      <c r="M330" s="188"/>
      <c r="S330" s="205"/>
      <c r="T330" s="205"/>
    </row>
    <row r="331" spans="13:20">
      <c r="M331" s="188"/>
      <c r="S331" s="205"/>
      <c r="T331" s="205"/>
    </row>
    <row r="332" spans="13:20">
      <c r="M332" s="188"/>
      <c r="S332" s="205"/>
      <c r="T332" s="205"/>
    </row>
    <row r="333" spans="13:20">
      <c r="M333" s="188"/>
      <c r="S333" s="205"/>
      <c r="T333" s="205"/>
    </row>
    <row r="334" spans="13:20">
      <c r="M334" s="188"/>
      <c r="S334" s="205"/>
      <c r="T334" s="205"/>
    </row>
    <row r="335" spans="13:20">
      <c r="M335" s="188"/>
      <c r="S335" s="205"/>
      <c r="T335" s="205"/>
    </row>
    <row r="336" spans="13:20">
      <c r="M336" s="188"/>
      <c r="S336" s="205"/>
      <c r="T336" s="205"/>
    </row>
    <row r="337" spans="13:20">
      <c r="M337" s="188"/>
      <c r="S337" s="205"/>
      <c r="T337" s="205"/>
    </row>
    <row r="338" spans="13:20">
      <c r="M338" s="188"/>
    </row>
    <row r="339" spans="13:20">
      <c r="M339" s="188"/>
    </row>
    <row r="340" spans="13:20">
      <c r="M340" s="188"/>
    </row>
    <row r="341" spans="13:20">
      <c r="M341" s="188"/>
    </row>
    <row r="342" spans="13:20">
      <c r="M342" s="188"/>
    </row>
    <row r="343" spans="13:20">
      <c r="M343" s="188"/>
      <c r="S343" s="210"/>
      <c r="T343" s="210"/>
    </row>
    <row r="344" spans="13:20">
      <c r="M344" s="188"/>
      <c r="S344" s="210"/>
      <c r="T344" s="210"/>
    </row>
    <row r="345" spans="13:20">
      <c r="M345" s="188"/>
      <c r="S345" s="210"/>
      <c r="T345" s="210"/>
    </row>
    <row r="346" spans="13:20">
      <c r="M346" s="188"/>
      <c r="S346" s="210"/>
      <c r="T346" s="210"/>
    </row>
    <row r="347" spans="13:20">
      <c r="M347" s="188"/>
      <c r="S347" s="210"/>
      <c r="T347" s="210"/>
    </row>
    <row r="348" spans="13:20">
      <c r="M348" s="188"/>
      <c r="S348" s="210"/>
      <c r="T348" s="210"/>
    </row>
    <row r="349" spans="13:20">
      <c r="M349" s="188"/>
    </row>
    <row r="350" spans="13:20">
      <c r="M350" s="188"/>
      <c r="S350" s="205"/>
      <c r="T350" s="205"/>
    </row>
    <row r="351" spans="13:20">
      <c r="M351" s="188"/>
      <c r="S351" s="205"/>
      <c r="T351" s="205"/>
    </row>
    <row r="352" spans="13:20">
      <c r="M352" s="188"/>
      <c r="S352" s="205"/>
      <c r="T352" s="205"/>
    </row>
    <row r="353" spans="13:20">
      <c r="M353" s="188"/>
      <c r="S353" s="205"/>
      <c r="T353" s="205"/>
    </row>
    <row r="354" spans="13:20">
      <c r="M354" s="188"/>
      <c r="S354" s="205"/>
      <c r="T354" s="205"/>
    </row>
    <row r="355" spans="13:20">
      <c r="M355" s="188"/>
      <c r="S355" s="205"/>
      <c r="T355" s="205"/>
    </row>
    <row r="356" spans="13:20">
      <c r="M356" s="188"/>
      <c r="S356" s="205"/>
      <c r="T356" s="205"/>
    </row>
    <row r="357" spans="13:20">
      <c r="M357" s="188"/>
      <c r="S357" s="205"/>
      <c r="T357" s="205"/>
    </row>
    <row r="358" spans="13:20">
      <c r="M358" s="188"/>
      <c r="S358" s="205"/>
      <c r="T358" s="205"/>
    </row>
    <row r="359" spans="13:20">
      <c r="M359" s="188"/>
      <c r="S359" s="205"/>
      <c r="T359" s="205"/>
    </row>
    <row r="360" spans="13:20">
      <c r="M360" s="188"/>
      <c r="S360" s="205"/>
      <c r="T360" s="205"/>
    </row>
    <row r="361" spans="13:20">
      <c r="M361" s="188"/>
      <c r="S361" s="205"/>
      <c r="T361" s="205"/>
    </row>
    <row r="362" spans="13:20">
      <c r="M362" s="188"/>
      <c r="S362" s="205"/>
      <c r="T362" s="205"/>
    </row>
    <row r="363" spans="13:20">
      <c r="M363" s="188"/>
      <c r="S363" s="205"/>
      <c r="T363" s="205"/>
    </row>
    <row r="364" spans="13:20">
      <c r="M364" s="188"/>
      <c r="S364" s="205"/>
      <c r="T364" s="205"/>
    </row>
    <row r="365" spans="13:20">
      <c r="M365" s="188"/>
      <c r="S365" s="205"/>
      <c r="T365" s="205"/>
    </row>
    <row r="366" spans="13:20">
      <c r="M366" s="188"/>
      <c r="S366" s="205"/>
      <c r="T366" s="205"/>
    </row>
    <row r="367" spans="13:20">
      <c r="M367" s="188"/>
      <c r="S367" s="205"/>
      <c r="T367" s="205"/>
    </row>
    <row r="368" spans="13:20">
      <c r="M368" s="188"/>
      <c r="S368" s="205"/>
      <c r="T368" s="205"/>
    </row>
    <row r="369" spans="13:20">
      <c r="M369" s="188"/>
      <c r="S369" s="205"/>
      <c r="T369" s="205"/>
    </row>
    <row r="370" spans="13:20">
      <c r="M370" s="188"/>
      <c r="S370" s="205"/>
      <c r="T370" s="205"/>
    </row>
    <row r="371" spans="13:20">
      <c r="M371" s="188"/>
      <c r="S371" s="205"/>
      <c r="T371" s="205"/>
    </row>
    <row r="372" spans="13:20">
      <c r="M372" s="188"/>
      <c r="S372" s="205"/>
      <c r="T372" s="205"/>
    </row>
    <row r="373" spans="13:20">
      <c r="M373" s="188"/>
      <c r="S373" s="205"/>
      <c r="T373" s="205"/>
    </row>
    <row r="374" spans="13:20">
      <c r="M374" s="188"/>
      <c r="S374" s="205"/>
      <c r="T374" s="205"/>
    </row>
    <row r="375" spans="13:20">
      <c r="M375" s="188"/>
      <c r="S375" s="205"/>
      <c r="T375" s="205"/>
    </row>
    <row r="376" spans="13:20">
      <c r="M376" s="188"/>
      <c r="S376" s="205"/>
      <c r="T376" s="205"/>
    </row>
    <row r="377" spans="13:20">
      <c r="M377" s="188"/>
      <c r="S377" s="205"/>
      <c r="T377" s="205"/>
    </row>
    <row r="378" spans="13:20">
      <c r="M378" s="188"/>
      <c r="S378" s="205"/>
      <c r="T378" s="205"/>
    </row>
    <row r="379" spans="13:20">
      <c r="M379" s="188"/>
      <c r="S379" s="205"/>
      <c r="T379" s="205"/>
    </row>
    <row r="380" spans="13:20">
      <c r="M380" s="188"/>
      <c r="S380" s="205"/>
      <c r="T380" s="205"/>
    </row>
    <row r="381" spans="13:20">
      <c r="M381" s="188"/>
      <c r="S381" s="205"/>
      <c r="T381" s="205"/>
    </row>
    <row r="382" spans="13:20">
      <c r="M382" s="188"/>
      <c r="S382" s="205"/>
      <c r="T382" s="205"/>
    </row>
    <row r="383" spans="13:20">
      <c r="M383" s="188"/>
      <c r="S383" s="205"/>
      <c r="T383" s="205"/>
    </row>
    <row r="384" spans="13:20">
      <c r="M384" s="188"/>
      <c r="S384" s="205"/>
      <c r="T384" s="205"/>
    </row>
    <row r="385" spans="13:20">
      <c r="M385" s="188"/>
      <c r="S385" s="205"/>
      <c r="T385" s="205"/>
    </row>
    <row r="386" spans="13:20">
      <c r="M386" s="188"/>
      <c r="S386" s="205"/>
      <c r="T386" s="205"/>
    </row>
    <row r="387" spans="13:20">
      <c r="M387" s="188"/>
      <c r="S387" s="205"/>
      <c r="T387" s="205"/>
    </row>
    <row r="388" spans="13:20">
      <c r="M388" s="188"/>
      <c r="S388" s="205"/>
      <c r="T388" s="205"/>
    </row>
    <row r="389" spans="13:20">
      <c r="M389" s="188"/>
      <c r="S389" s="205"/>
      <c r="T389" s="205"/>
    </row>
    <row r="390" spans="13:20">
      <c r="M390" s="188"/>
      <c r="S390" s="205"/>
      <c r="T390" s="205"/>
    </row>
    <row r="391" spans="13:20">
      <c r="M391" s="188"/>
      <c r="S391" s="205"/>
      <c r="T391" s="205"/>
    </row>
    <row r="392" spans="13:20">
      <c r="M392" s="188"/>
      <c r="S392" s="205"/>
      <c r="T392" s="205"/>
    </row>
    <row r="393" spans="13:20">
      <c r="M393" s="188"/>
      <c r="S393" s="205"/>
      <c r="T393" s="205"/>
    </row>
    <row r="394" spans="13:20">
      <c r="M394" s="188"/>
      <c r="S394" s="205"/>
      <c r="T394" s="205"/>
    </row>
    <row r="395" spans="13:20">
      <c r="M395" s="188"/>
      <c r="S395" s="205"/>
      <c r="T395" s="205"/>
    </row>
    <row r="396" spans="13:20">
      <c r="M396" s="188"/>
      <c r="S396" s="205"/>
      <c r="T396" s="205"/>
    </row>
    <row r="397" spans="13:20">
      <c r="M397" s="188"/>
      <c r="S397" s="205"/>
      <c r="T397" s="205"/>
    </row>
    <row r="398" spans="13:20">
      <c r="M398" s="188"/>
      <c r="S398" s="205"/>
      <c r="T398" s="205"/>
    </row>
    <row r="399" spans="13:20">
      <c r="M399" s="188"/>
      <c r="S399" s="205"/>
      <c r="T399" s="205"/>
    </row>
    <row r="400" spans="13:20">
      <c r="M400" s="188"/>
      <c r="S400" s="205"/>
      <c r="T400" s="205"/>
    </row>
    <row r="401" spans="13:20">
      <c r="M401" s="188"/>
      <c r="S401" s="205"/>
      <c r="T401" s="205"/>
    </row>
    <row r="402" spans="13:20">
      <c r="M402" s="188"/>
      <c r="S402" s="205"/>
      <c r="T402" s="205"/>
    </row>
    <row r="403" spans="13:20">
      <c r="M403" s="188"/>
      <c r="S403" s="205"/>
      <c r="T403" s="205"/>
    </row>
    <row r="404" spans="13:20">
      <c r="M404" s="188"/>
      <c r="S404" s="205"/>
      <c r="T404" s="205"/>
    </row>
    <row r="405" spans="13:20">
      <c r="M405" s="188"/>
      <c r="S405" s="205"/>
      <c r="T405" s="205"/>
    </row>
    <row r="406" spans="13:20">
      <c r="M406" s="188"/>
      <c r="S406" s="205"/>
      <c r="T406" s="205"/>
    </row>
    <row r="407" spans="13:20">
      <c r="M407" s="188"/>
      <c r="S407" s="205"/>
      <c r="T407" s="205"/>
    </row>
    <row r="408" spans="13:20">
      <c r="M408" s="188"/>
      <c r="S408" s="205"/>
      <c r="T408" s="205"/>
    </row>
    <row r="409" spans="13:20">
      <c r="M409" s="188"/>
      <c r="S409" s="205"/>
      <c r="T409" s="205"/>
    </row>
    <row r="410" spans="13:20">
      <c r="M410" s="188"/>
      <c r="S410" s="205"/>
      <c r="T410" s="205"/>
    </row>
    <row r="411" spans="13:20">
      <c r="M411" s="188"/>
      <c r="S411" s="205"/>
      <c r="T411" s="205"/>
    </row>
    <row r="412" spans="13:20">
      <c r="M412" s="188"/>
      <c r="S412" s="205"/>
      <c r="T412" s="205"/>
    </row>
    <row r="413" spans="13:20">
      <c r="M413" s="188"/>
      <c r="S413" s="205"/>
      <c r="T413" s="205"/>
    </row>
    <row r="414" spans="13:20">
      <c r="M414" s="188"/>
      <c r="S414" s="205"/>
      <c r="T414" s="205"/>
    </row>
    <row r="415" spans="13:20">
      <c r="M415" s="188"/>
      <c r="S415" s="205"/>
      <c r="T415" s="205"/>
    </row>
    <row r="416" spans="13:20">
      <c r="M416" s="188"/>
      <c r="S416" s="205"/>
      <c r="T416" s="205"/>
    </row>
    <row r="417" spans="13:20">
      <c r="M417" s="188"/>
      <c r="S417" s="205"/>
      <c r="T417" s="205"/>
    </row>
    <row r="418" spans="13:20">
      <c r="M418" s="188"/>
      <c r="S418" s="205"/>
      <c r="T418" s="205"/>
    </row>
    <row r="419" spans="13:20">
      <c r="M419" s="188"/>
      <c r="S419" s="205"/>
      <c r="T419" s="205"/>
    </row>
    <row r="420" spans="13:20">
      <c r="M420" s="188"/>
      <c r="S420" s="205"/>
      <c r="T420" s="205"/>
    </row>
    <row r="421" spans="13:20">
      <c r="M421" s="188"/>
      <c r="S421" s="205"/>
      <c r="T421" s="205"/>
    </row>
    <row r="422" spans="13:20">
      <c r="M422" s="188"/>
      <c r="S422" s="210"/>
      <c r="T422" s="210"/>
    </row>
    <row r="423" spans="13:20">
      <c r="M423" s="188"/>
      <c r="S423" s="210"/>
      <c r="T423" s="210"/>
    </row>
    <row r="424" spans="13:20">
      <c r="M424" s="188"/>
      <c r="S424" s="210"/>
      <c r="T424" s="210"/>
    </row>
    <row r="425" spans="13:20">
      <c r="M425" s="188"/>
      <c r="S425" s="210"/>
      <c r="T425" s="210"/>
    </row>
    <row r="426" spans="13:20">
      <c r="M426" s="188"/>
      <c r="S426" s="210"/>
      <c r="T426" s="210"/>
    </row>
    <row r="427" spans="13:20">
      <c r="M427" s="188"/>
      <c r="S427" s="210"/>
      <c r="T427" s="210"/>
    </row>
    <row r="428" spans="13:20">
      <c r="M428" s="188"/>
      <c r="S428" s="205"/>
      <c r="T428" s="205"/>
    </row>
    <row r="429" spans="13:20">
      <c r="M429" s="188"/>
      <c r="S429" s="205"/>
      <c r="T429" s="205"/>
    </row>
    <row r="430" spans="13:20">
      <c r="M430" s="188"/>
      <c r="S430" s="205"/>
      <c r="T430" s="205"/>
    </row>
    <row r="431" spans="13:20">
      <c r="M431" s="188"/>
      <c r="S431" s="205"/>
      <c r="T431" s="205"/>
    </row>
    <row r="432" spans="13:20">
      <c r="M432" s="188"/>
      <c r="S432" s="205"/>
      <c r="T432" s="205"/>
    </row>
    <row r="433" spans="13:20">
      <c r="M433" s="188"/>
      <c r="S433" s="205"/>
      <c r="T433" s="205"/>
    </row>
    <row r="434" spans="13:20">
      <c r="M434" s="188"/>
      <c r="S434" s="205"/>
      <c r="T434" s="205"/>
    </row>
    <row r="435" spans="13:20">
      <c r="M435" s="188"/>
      <c r="S435" s="205"/>
      <c r="T435" s="205"/>
    </row>
    <row r="436" spans="13:20">
      <c r="M436" s="188"/>
      <c r="S436" s="205"/>
      <c r="T436" s="205"/>
    </row>
    <row r="437" spans="13:20">
      <c r="M437" s="188"/>
      <c r="S437" s="205"/>
      <c r="T437" s="205"/>
    </row>
    <row r="438" spans="13:20">
      <c r="M438" s="188"/>
      <c r="S438" s="205"/>
      <c r="T438" s="205"/>
    </row>
    <row r="439" spans="13:20">
      <c r="M439" s="188"/>
      <c r="S439" s="205"/>
      <c r="T439" s="205"/>
    </row>
    <row r="440" spans="13:20">
      <c r="M440" s="188"/>
      <c r="S440" s="205"/>
      <c r="T440" s="205"/>
    </row>
    <row r="441" spans="13:20">
      <c r="M441" s="188"/>
      <c r="S441" s="205"/>
      <c r="T441" s="205"/>
    </row>
    <row r="442" spans="13:20">
      <c r="M442" s="188"/>
      <c r="S442" s="205"/>
      <c r="T442" s="205"/>
    </row>
    <row r="443" spans="13:20">
      <c r="M443" s="188"/>
      <c r="S443" s="205"/>
      <c r="T443" s="205"/>
    </row>
    <row r="444" spans="13:20">
      <c r="M444" s="188"/>
      <c r="S444" s="205"/>
      <c r="T444" s="205"/>
    </row>
    <row r="445" spans="13:20">
      <c r="M445" s="188"/>
      <c r="S445" s="205"/>
      <c r="T445" s="205"/>
    </row>
    <row r="446" spans="13:20">
      <c r="M446" s="188"/>
      <c r="S446" s="205"/>
      <c r="T446" s="205"/>
    </row>
    <row r="447" spans="13:20">
      <c r="M447" s="188"/>
      <c r="S447" s="205"/>
      <c r="T447" s="205"/>
    </row>
    <row r="448" spans="13:20">
      <c r="M448" s="188"/>
      <c r="S448" s="205"/>
      <c r="T448" s="205"/>
    </row>
    <row r="449" spans="13:20">
      <c r="M449" s="188"/>
      <c r="S449" s="205"/>
      <c r="T449" s="205"/>
    </row>
    <row r="450" spans="13:20">
      <c r="M450" s="188"/>
      <c r="S450" s="205"/>
      <c r="T450" s="205"/>
    </row>
    <row r="451" spans="13:20">
      <c r="M451" s="188"/>
      <c r="S451" s="205"/>
      <c r="T451" s="205"/>
    </row>
    <row r="452" spans="13:20">
      <c r="M452" s="188"/>
      <c r="S452" s="205"/>
      <c r="T452" s="205"/>
    </row>
    <row r="453" spans="13:20">
      <c r="M453" s="188"/>
      <c r="S453" s="205"/>
      <c r="T453" s="205"/>
    </row>
    <row r="454" spans="13:20">
      <c r="M454" s="188"/>
      <c r="S454" s="205"/>
      <c r="T454" s="205"/>
    </row>
    <row r="455" spans="13:20">
      <c r="M455" s="188"/>
      <c r="S455" s="205"/>
      <c r="T455" s="205"/>
    </row>
    <row r="456" spans="13:20">
      <c r="M456" s="188"/>
      <c r="S456" s="205"/>
      <c r="T456" s="205"/>
    </row>
    <row r="457" spans="13:20">
      <c r="M457" s="188"/>
      <c r="S457" s="205"/>
      <c r="T457" s="205"/>
    </row>
    <row r="458" spans="13:20">
      <c r="M458" s="188"/>
      <c r="S458" s="205"/>
      <c r="T458" s="205"/>
    </row>
    <row r="459" spans="13:20">
      <c r="M459" s="188"/>
      <c r="S459" s="205"/>
      <c r="T459" s="205"/>
    </row>
    <row r="460" spans="13:20">
      <c r="M460" s="188"/>
      <c r="S460" s="205"/>
      <c r="T460" s="205"/>
    </row>
    <row r="461" spans="13:20">
      <c r="M461" s="188"/>
      <c r="S461" s="205"/>
      <c r="T461" s="205"/>
    </row>
    <row r="462" spans="13:20">
      <c r="M462" s="188"/>
      <c r="S462" s="205"/>
      <c r="T462" s="205"/>
    </row>
    <row r="463" spans="13:20">
      <c r="M463" s="188"/>
      <c r="S463" s="205"/>
      <c r="T463" s="205"/>
    </row>
    <row r="464" spans="13:20">
      <c r="M464" s="188"/>
      <c r="S464" s="205"/>
      <c r="T464" s="205"/>
    </row>
    <row r="465" spans="13:20">
      <c r="M465" s="188"/>
      <c r="S465" s="205"/>
      <c r="T465" s="205"/>
    </row>
    <row r="466" spans="13:20">
      <c r="M466" s="188"/>
      <c r="S466" s="205"/>
      <c r="T466" s="205"/>
    </row>
    <row r="467" spans="13:20">
      <c r="M467" s="188"/>
      <c r="S467" s="205"/>
      <c r="T467" s="205"/>
    </row>
    <row r="468" spans="13:20">
      <c r="M468" s="188"/>
      <c r="S468" s="205"/>
      <c r="T468" s="205"/>
    </row>
    <row r="469" spans="13:20">
      <c r="M469" s="188"/>
      <c r="S469" s="205"/>
      <c r="T469" s="205"/>
    </row>
    <row r="470" spans="13:20">
      <c r="M470" s="188"/>
      <c r="S470" s="205"/>
      <c r="T470" s="205"/>
    </row>
    <row r="471" spans="13:20">
      <c r="M471" s="188"/>
      <c r="S471" s="205"/>
      <c r="T471" s="205"/>
    </row>
    <row r="472" spans="13:20">
      <c r="M472" s="188"/>
      <c r="S472" s="205"/>
      <c r="T472" s="205"/>
    </row>
    <row r="473" spans="13:20">
      <c r="M473" s="188"/>
      <c r="S473" s="205"/>
      <c r="T473" s="205"/>
    </row>
    <row r="474" spans="13:20">
      <c r="M474" s="188"/>
      <c r="S474" s="205"/>
      <c r="T474" s="205"/>
    </row>
    <row r="475" spans="13:20">
      <c r="M475" s="188"/>
      <c r="S475" s="205"/>
      <c r="T475" s="205"/>
    </row>
    <row r="476" spans="13:20">
      <c r="M476" s="188"/>
      <c r="S476" s="205"/>
      <c r="T476" s="205"/>
    </row>
    <row r="477" spans="13:20">
      <c r="M477" s="188"/>
      <c r="S477" s="205"/>
      <c r="T477" s="205"/>
    </row>
    <row r="478" spans="13:20">
      <c r="M478" s="188"/>
      <c r="S478" s="205"/>
      <c r="T478" s="205"/>
    </row>
    <row r="479" spans="13:20">
      <c r="M479" s="188"/>
      <c r="S479" s="205"/>
      <c r="T479" s="205"/>
    </row>
    <row r="480" spans="13:20">
      <c r="M480" s="188"/>
      <c r="S480" s="205"/>
      <c r="T480" s="205"/>
    </row>
    <row r="481" spans="13:20">
      <c r="M481" s="188"/>
      <c r="S481" s="205"/>
      <c r="T481" s="205"/>
    </row>
    <row r="482" spans="13:20">
      <c r="M482" s="188"/>
      <c r="S482" s="205"/>
      <c r="T482" s="205"/>
    </row>
    <row r="483" spans="13:20">
      <c r="M483" s="188"/>
      <c r="S483" s="205"/>
      <c r="T483" s="205"/>
    </row>
    <row r="484" spans="13:20">
      <c r="M484" s="188"/>
      <c r="S484" s="205"/>
      <c r="T484" s="205"/>
    </row>
    <row r="485" spans="13:20">
      <c r="M485" s="188"/>
      <c r="S485" s="205"/>
      <c r="T485" s="205"/>
    </row>
    <row r="486" spans="13:20">
      <c r="M486" s="188"/>
      <c r="S486" s="205"/>
      <c r="T486" s="205"/>
    </row>
    <row r="487" spans="13:20">
      <c r="M487" s="188"/>
      <c r="S487" s="205"/>
      <c r="T487" s="205"/>
    </row>
    <row r="488" spans="13:20">
      <c r="M488" s="188"/>
      <c r="S488" s="205"/>
      <c r="T488" s="205"/>
    </row>
    <row r="489" spans="13:20">
      <c r="M489" s="188"/>
    </row>
    <row r="490" spans="13:20">
      <c r="M490" s="188"/>
    </row>
    <row r="491" spans="13:20">
      <c r="M491" s="188"/>
    </row>
    <row r="492" spans="13:20">
      <c r="M492" s="188"/>
    </row>
    <row r="493" spans="13:20">
      <c r="M493" s="188"/>
    </row>
    <row r="494" spans="13:20">
      <c r="M494" s="188"/>
      <c r="S494" s="210"/>
      <c r="T494" s="210"/>
    </row>
    <row r="495" spans="13:20">
      <c r="M495" s="188"/>
      <c r="S495" s="210"/>
      <c r="T495" s="210"/>
    </row>
    <row r="496" spans="13:20">
      <c r="M496" s="188"/>
      <c r="S496" s="210"/>
      <c r="T496" s="210"/>
    </row>
    <row r="497" spans="13:20">
      <c r="M497" s="188"/>
      <c r="S497" s="210"/>
      <c r="T497" s="210"/>
    </row>
    <row r="498" spans="13:20">
      <c r="M498" s="188"/>
      <c r="S498" s="210"/>
      <c r="T498" s="210"/>
    </row>
    <row r="499" spans="13:20">
      <c r="M499" s="188"/>
      <c r="S499" s="210"/>
      <c r="T499" s="210"/>
    </row>
    <row r="500" spans="13:20">
      <c r="M500" s="188"/>
    </row>
    <row r="501" spans="13:20">
      <c r="M501" s="188"/>
      <c r="S501" s="205"/>
      <c r="T501" s="205"/>
    </row>
    <row r="502" spans="13:20">
      <c r="M502" s="188"/>
      <c r="S502" s="205"/>
      <c r="T502" s="205"/>
    </row>
    <row r="503" spans="13:20">
      <c r="M503" s="188"/>
      <c r="S503" s="205"/>
      <c r="T503" s="205"/>
    </row>
    <row r="504" spans="13:20">
      <c r="M504" s="188"/>
      <c r="S504" s="205"/>
      <c r="T504" s="205"/>
    </row>
    <row r="505" spans="13:20">
      <c r="M505" s="188"/>
      <c r="S505" s="205"/>
      <c r="T505" s="205"/>
    </row>
    <row r="506" spans="13:20">
      <c r="M506" s="188"/>
      <c r="S506" s="205"/>
      <c r="T506" s="205"/>
    </row>
    <row r="507" spans="13:20">
      <c r="M507" s="188"/>
      <c r="S507" s="205"/>
      <c r="T507" s="205"/>
    </row>
    <row r="508" spans="13:20">
      <c r="M508" s="188"/>
      <c r="S508" s="205"/>
      <c r="T508" s="205"/>
    </row>
    <row r="509" spans="13:20">
      <c r="M509" s="188"/>
      <c r="S509" s="205"/>
      <c r="T509" s="205"/>
    </row>
    <row r="510" spans="13:20">
      <c r="M510" s="188"/>
      <c r="S510" s="205"/>
      <c r="T510" s="205"/>
    </row>
    <row r="511" spans="13:20">
      <c r="M511" s="188"/>
      <c r="S511" s="205"/>
      <c r="T511" s="205"/>
    </row>
    <row r="512" spans="13:20">
      <c r="M512" s="188"/>
      <c r="S512" s="205"/>
      <c r="T512" s="205"/>
    </row>
    <row r="513" spans="13:20">
      <c r="M513" s="188"/>
      <c r="S513" s="205"/>
      <c r="T513" s="205"/>
    </row>
    <row r="514" spans="13:20">
      <c r="M514" s="188"/>
      <c r="S514" s="205"/>
      <c r="T514" s="205"/>
    </row>
    <row r="515" spans="13:20">
      <c r="M515" s="188"/>
      <c r="S515" s="205"/>
      <c r="T515" s="205"/>
    </row>
    <row r="516" spans="13:20">
      <c r="M516" s="188"/>
      <c r="S516" s="205"/>
      <c r="T516" s="205"/>
    </row>
    <row r="517" spans="13:20">
      <c r="M517" s="188"/>
      <c r="S517" s="205"/>
      <c r="T517" s="205"/>
    </row>
    <row r="518" spans="13:20">
      <c r="M518" s="188"/>
      <c r="S518" s="205"/>
      <c r="T518" s="205"/>
    </row>
    <row r="519" spans="13:20">
      <c r="M519" s="188"/>
      <c r="S519" s="205"/>
      <c r="T519" s="205"/>
    </row>
    <row r="520" spans="13:20">
      <c r="M520" s="188"/>
      <c r="S520" s="205"/>
      <c r="T520" s="205"/>
    </row>
    <row r="521" spans="13:20">
      <c r="M521" s="188"/>
      <c r="S521" s="205"/>
      <c r="T521" s="205"/>
    </row>
    <row r="522" spans="13:20">
      <c r="M522" s="188"/>
      <c r="S522" s="205"/>
      <c r="T522" s="205"/>
    </row>
    <row r="523" spans="13:20">
      <c r="M523" s="188"/>
      <c r="S523" s="205"/>
      <c r="T523" s="205"/>
    </row>
    <row r="524" spans="13:20">
      <c r="M524" s="188"/>
      <c r="S524" s="205"/>
      <c r="T524" s="205"/>
    </row>
    <row r="525" spans="13:20">
      <c r="M525" s="188"/>
      <c r="S525" s="205"/>
      <c r="T525" s="205"/>
    </row>
    <row r="526" spans="13:20">
      <c r="M526" s="188"/>
      <c r="S526" s="205"/>
      <c r="T526" s="205"/>
    </row>
    <row r="527" spans="13:20">
      <c r="M527" s="188"/>
      <c r="S527" s="205"/>
      <c r="T527" s="205"/>
    </row>
    <row r="528" spans="13:20">
      <c r="M528" s="188"/>
      <c r="S528" s="205"/>
      <c r="T528" s="205"/>
    </row>
    <row r="529" spans="13:20">
      <c r="M529" s="188"/>
      <c r="S529" s="205"/>
      <c r="T529" s="205"/>
    </row>
    <row r="530" spans="13:20">
      <c r="M530" s="188"/>
      <c r="S530" s="205"/>
      <c r="T530" s="205"/>
    </row>
    <row r="531" spans="13:20">
      <c r="M531" s="188"/>
      <c r="S531" s="205"/>
      <c r="T531" s="205"/>
    </row>
    <row r="532" spans="13:20">
      <c r="M532" s="188"/>
      <c r="S532" s="205"/>
      <c r="T532" s="205"/>
    </row>
    <row r="533" spans="13:20">
      <c r="M533" s="188"/>
      <c r="S533" s="205"/>
      <c r="T533" s="205"/>
    </row>
    <row r="534" spans="13:20">
      <c r="M534" s="188"/>
      <c r="S534" s="205"/>
      <c r="T534" s="205"/>
    </row>
    <row r="535" spans="13:20">
      <c r="M535" s="188"/>
      <c r="S535" s="205"/>
      <c r="T535" s="205"/>
    </row>
    <row r="536" spans="13:20">
      <c r="M536" s="188"/>
      <c r="S536" s="205"/>
      <c r="T536" s="205"/>
    </row>
    <row r="537" spans="13:20">
      <c r="M537" s="188"/>
      <c r="S537" s="205"/>
      <c r="T537" s="205"/>
    </row>
    <row r="538" spans="13:20">
      <c r="M538" s="188"/>
      <c r="S538" s="205"/>
      <c r="T538" s="205"/>
    </row>
    <row r="539" spans="13:20">
      <c r="M539" s="188"/>
      <c r="S539" s="205"/>
      <c r="T539" s="205"/>
    </row>
    <row r="540" spans="13:20">
      <c r="M540" s="188"/>
      <c r="S540" s="205"/>
      <c r="T540" s="205"/>
    </row>
    <row r="541" spans="13:20">
      <c r="M541" s="188"/>
      <c r="S541" s="205"/>
      <c r="T541" s="205"/>
    </row>
    <row r="542" spans="13:20">
      <c r="M542" s="188"/>
      <c r="S542" s="205"/>
      <c r="T542" s="205"/>
    </row>
    <row r="543" spans="13:20">
      <c r="M543" s="188"/>
      <c r="S543" s="205"/>
      <c r="T543" s="205"/>
    </row>
    <row r="544" spans="13:20">
      <c r="M544" s="188"/>
      <c r="S544" s="205"/>
      <c r="T544" s="205"/>
    </row>
    <row r="545" spans="13:20">
      <c r="M545" s="188"/>
      <c r="S545" s="205"/>
      <c r="T545" s="205"/>
    </row>
    <row r="546" spans="13:20">
      <c r="M546" s="188"/>
      <c r="S546" s="205"/>
      <c r="T546" s="205"/>
    </row>
    <row r="547" spans="13:20">
      <c r="M547" s="188"/>
      <c r="S547" s="205"/>
      <c r="T547" s="205"/>
    </row>
    <row r="548" spans="13:20">
      <c r="M548" s="188"/>
      <c r="S548" s="205"/>
      <c r="T548" s="205"/>
    </row>
    <row r="549" spans="13:20">
      <c r="M549" s="188"/>
      <c r="S549" s="205"/>
      <c r="T549" s="205"/>
    </row>
    <row r="550" spans="13:20">
      <c r="M550" s="188"/>
      <c r="S550" s="205"/>
      <c r="T550" s="205"/>
    </row>
    <row r="551" spans="13:20">
      <c r="M551" s="188"/>
      <c r="S551" s="205"/>
      <c r="T551" s="205"/>
    </row>
    <row r="552" spans="13:20">
      <c r="M552" s="188"/>
      <c r="S552" s="205"/>
      <c r="T552" s="205"/>
    </row>
    <row r="553" spans="13:20">
      <c r="M553" s="188"/>
      <c r="S553" s="205"/>
      <c r="T553" s="205"/>
    </row>
    <row r="554" spans="13:20">
      <c r="M554" s="188"/>
      <c r="S554" s="205"/>
      <c r="T554" s="205"/>
    </row>
    <row r="555" spans="13:20">
      <c r="M555" s="188"/>
      <c r="S555" s="205"/>
      <c r="T555" s="205"/>
    </row>
    <row r="556" spans="13:20">
      <c r="M556" s="188"/>
      <c r="S556" s="205"/>
      <c r="T556" s="205"/>
    </row>
    <row r="557" spans="13:20">
      <c r="M557" s="188"/>
      <c r="S557" s="205"/>
      <c r="T557" s="205"/>
    </row>
    <row r="558" spans="13:20">
      <c r="M558" s="188"/>
      <c r="S558" s="205"/>
      <c r="T558" s="205"/>
    </row>
    <row r="559" spans="13:20">
      <c r="M559" s="188"/>
      <c r="S559" s="205"/>
      <c r="T559" s="205"/>
    </row>
    <row r="560" spans="13:20">
      <c r="M560" s="188"/>
      <c r="S560" s="205"/>
      <c r="T560" s="205"/>
    </row>
    <row r="561" spans="13:20">
      <c r="M561" s="188"/>
      <c r="S561" s="205"/>
      <c r="T561" s="205"/>
    </row>
    <row r="562" spans="13:20">
      <c r="M562" s="188"/>
      <c r="S562" s="205"/>
      <c r="T562" s="205"/>
    </row>
    <row r="563" spans="13:20">
      <c r="M563" s="188"/>
      <c r="S563" s="205"/>
      <c r="T563" s="205"/>
    </row>
    <row r="564" spans="13:20">
      <c r="M564" s="188"/>
      <c r="S564" s="205"/>
      <c r="T564" s="205"/>
    </row>
    <row r="565" spans="13:20">
      <c r="M565" s="188"/>
      <c r="S565" s="205"/>
      <c r="T565" s="205"/>
    </row>
    <row r="566" spans="13:20">
      <c r="M566" s="188"/>
      <c r="S566" s="205"/>
      <c r="T566" s="205"/>
    </row>
    <row r="567" spans="13:20">
      <c r="M567" s="188"/>
      <c r="S567" s="205"/>
      <c r="T567" s="205"/>
    </row>
    <row r="568" spans="13:20">
      <c r="M568" s="188"/>
      <c r="S568" s="205"/>
      <c r="T568" s="205"/>
    </row>
    <row r="569" spans="13:20">
      <c r="M569" s="188"/>
      <c r="S569" s="205"/>
      <c r="T569" s="205"/>
    </row>
    <row r="570" spans="13:20">
      <c r="M570" s="188"/>
      <c r="S570" s="205"/>
      <c r="T570" s="205"/>
    </row>
    <row r="571" spans="13:20">
      <c r="M571" s="188"/>
      <c r="S571" s="205"/>
      <c r="T571" s="205"/>
    </row>
    <row r="572" spans="13:20">
      <c r="M572" s="188"/>
      <c r="S572" s="205"/>
      <c r="T572" s="205"/>
    </row>
    <row r="573" spans="13:20">
      <c r="M573" s="188"/>
      <c r="S573" s="205"/>
      <c r="T573" s="205"/>
    </row>
    <row r="574" spans="13:20">
      <c r="M574" s="188"/>
      <c r="S574" s="205"/>
      <c r="T574" s="205"/>
    </row>
    <row r="575" spans="13:20">
      <c r="M575" s="188"/>
      <c r="S575" s="205"/>
      <c r="T575" s="205"/>
    </row>
    <row r="576" spans="13:20">
      <c r="M576" s="188"/>
      <c r="S576" s="205"/>
      <c r="T576" s="205"/>
    </row>
    <row r="577" spans="13:20">
      <c r="M577" s="188"/>
      <c r="S577" s="205"/>
      <c r="T577" s="205"/>
    </row>
    <row r="578" spans="13:20">
      <c r="M578" s="188"/>
      <c r="S578" s="205"/>
      <c r="T578" s="205"/>
    </row>
    <row r="579" spans="13:20">
      <c r="M579" s="188"/>
      <c r="S579" s="205"/>
      <c r="T579" s="205"/>
    </row>
    <row r="580" spans="13:20">
      <c r="M580" s="188"/>
      <c r="S580" s="205"/>
      <c r="T580" s="205"/>
    </row>
    <row r="581" spans="13:20">
      <c r="M581" s="188"/>
      <c r="S581" s="205"/>
      <c r="T581" s="205"/>
    </row>
    <row r="582" spans="13:20">
      <c r="M582" s="188"/>
      <c r="S582" s="205"/>
      <c r="T582" s="205"/>
    </row>
    <row r="583" spans="13:20">
      <c r="M583" s="188"/>
      <c r="S583" s="205"/>
      <c r="T583" s="205"/>
    </row>
    <row r="584" spans="13:20">
      <c r="M584" s="188"/>
      <c r="S584" s="205"/>
      <c r="T584" s="205"/>
    </row>
    <row r="585" spans="13:20">
      <c r="M585" s="188"/>
      <c r="S585" s="205"/>
      <c r="T585" s="205"/>
    </row>
    <row r="586" spans="13:20">
      <c r="M586" s="188"/>
      <c r="S586" s="205"/>
      <c r="T586" s="205"/>
    </row>
    <row r="587" spans="13:20">
      <c r="M587" s="188"/>
      <c r="S587" s="205"/>
      <c r="T587" s="205"/>
    </row>
    <row r="588" spans="13:20">
      <c r="M588" s="188"/>
      <c r="S588" s="205"/>
      <c r="T588" s="205"/>
    </row>
    <row r="589" spans="13:20">
      <c r="M589" s="188"/>
      <c r="S589" s="205"/>
      <c r="T589" s="205"/>
    </row>
    <row r="590" spans="13:20">
      <c r="M590" s="188"/>
      <c r="S590" s="205"/>
      <c r="T590" s="205"/>
    </row>
    <row r="591" spans="13:20">
      <c r="M591" s="188"/>
      <c r="S591" s="205"/>
      <c r="T591" s="205"/>
    </row>
    <row r="592" spans="13:20">
      <c r="M592" s="188"/>
      <c r="S592" s="205"/>
      <c r="T592" s="205"/>
    </row>
    <row r="593" spans="13:20">
      <c r="M593" s="188"/>
      <c r="S593" s="205"/>
      <c r="T593" s="205"/>
    </row>
    <row r="594" spans="13:20">
      <c r="M594" s="188"/>
      <c r="S594" s="205"/>
      <c r="T594" s="205"/>
    </row>
    <row r="595" spans="13:20">
      <c r="M595" s="188"/>
      <c r="S595" s="205"/>
      <c r="T595" s="205"/>
    </row>
    <row r="596" spans="13:20">
      <c r="M596" s="188"/>
      <c r="S596" s="205"/>
      <c r="T596" s="205"/>
    </row>
    <row r="597" spans="13:20">
      <c r="M597" s="188"/>
      <c r="S597" s="205"/>
      <c r="T597" s="205"/>
    </row>
    <row r="598" spans="13:20">
      <c r="M598" s="188"/>
      <c r="S598" s="205"/>
      <c r="T598" s="205"/>
    </row>
    <row r="599" spans="13:20">
      <c r="M599" s="188"/>
      <c r="S599" s="205"/>
      <c r="T599" s="205"/>
    </row>
    <row r="600" spans="13:20">
      <c r="M600" s="188"/>
      <c r="S600" s="205"/>
      <c r="T600" s="205"/>
    </row>
    <row r="601" spans="13:20">
      <c r="S601" s="205"/>
      <c r="T601" s="205"/>
    </row>
    <row r="602" spans="13:20">
      <c r="S602" s="205"/>
      <c r="T602" s="205"/>
    </row>
    <row r="603" spans="13:20">
      <c r="S603" s="205"/>
      <c r="T603" s="205"/>
    </row>
    <row r="604" spans="13:20">
      <c r="S604" s="205"/>
      <c r="T604" s="205"/>
    </row>
    <row r="605" spans="13:20">
      <c r="S605" s="205"/>
      <c r="T605" s="205"/>
    </row>
    <row r="606" spans="13:20">
      <c r="S606" s="205"/>
      <c r="T606" s="205"/>
    </row>
    <row r="607" spans="13:20">
      <c r="S607" s="205"/>
      <c r="T607" s="205"/>
    </row>
    <row r="608" spans="13:20">
      <c r="S608" s="205"/>
      <c r="T608" s="205"/>
    </row>
    <row r="609" spans="19:20">
      <c r="S609" s="205"/>
      <c r="T609" s="205"/>
    </row>
    <row r="610" spans="19:20">
      <c r="S610" s="205"/>
      <c r="T610" s="205"/>
    </row>
    <row r="611" spans="19:20">
      <c r="S611" s="205"/>
      <c r="T611" s="205"/>
    </row>
    <row r="612" spans="19:20">
      <c r="S612" s="205"/>
      <c r="T612" s="205"/>
    </row>
    <row r="613" spans="19:20">
      <c r="S613" s="205"/>
      <c r="T613" s="205"/>
    </row>
    <row r="614" spans="19:20">
      <c r="S614" s="205"/>
      <c r="T614" s="205"/>
    </row>
    <row r="615" spans="19:20">
      <c r="S615" s="205"/>
      <c r="T615" s="205"/>
    </row>
    <row r="616" spans="19:20">
      <c r="S616" s="205"/>
      <c r="T616" s="205"/>
    </row>
    <row r="617" spans="19:20">
      <c r="S617" s="205"/>
      <c r="T617" s="205"/>
    </row>
    <row r="618" spans="19:20">
      <c r="S618" s="205"/>
      <c r="T618" s="205"/>
    </row>
    <row r="619" spans="19:20">
      <c r="S619" s="205"/>
      <c r="T619" s="205"/>
    </row>
    <row r="620" spans="19:20">
      <c r="S620" s="205"/>
      <c r="T620" s="205"/>
    </row>
    <row r="621" spans="19:20">
      <c r="S621" s="205"/>
      <c r="T621" s="205"/>
    </row>
    <row r="622" spans="19:20">
      <c r="S622" s="205"/>
      <c r="T622" s="205"/>
    </row>
    <row r="623" spans="19:20">
      <c r="S623" s="210"/>
      <c r="T623" s="210"/>
    </row>
    <row r="624" spans="19:20">
      <c r="S624" s="210"/>
      <c r="T624" s="210"/>
    </row>
    <row r="625" spans="19:20">
      <c r="S625" s="210"/>
      <c r="T625" s="210"/>
    </row>
    <row r="626" spans="19:20">
      <c r="S626" s="210"/>
      <c r="T626" s="210"/>
    </row>
    <row r="627" spans="19:20">
      <c r="S627" s="210"/>
      <c r="T627" s="210"/>
    </row>
    <row r="628" spans="19:20">
      <c r="S628" s="210"/>
      <c r="T628" s="210"/>
    </row>
    <row r="629" spans="19:20">
      <c r="S629" s="205"/>
      <c r="T629" s="205"/>
    </row>
    <row r="630" spans="19:20">
      <c r="S630" s="205"/>
      <c r="T630" s="205"/>
    </row>
    <row r="631" spans="19:20">
      <c r="S631" s="205"/>
      <c r="T631" s="205"/>
    </row>
    <row r="632" spans="19:20">
      <c r="S632" s="205"/>
      <c r="T632" s="205"/>
    </row>
    <row r="633" spans="19:20">
      <c r="S633" s="205"/>
      <c r="T633" s="205"/>
    </row>
    <row r="634" spans="19:20">
      <c r="S634" s="205"/>
      <c r="T634" s="205"/>
    </row>
    <row r="635" spans="19:20">
      <c r="S635" s="205"/>
      <c r="T635" s="205"/>
    </row>
    <row r="636" spans="19:20">
      <c r="S636" s="205"/>
      <c r="T636" s="205"/>
    </row>
    <row r="637" spans="19:20">
      <c r="S637" s="205"/>
      <c r="T637" s="205"/>
    </row>
    <row r="638" spans="19:20">
      <c r="S638" s="205"/>
      <c r="T638" s="205"/>
    </row>
    <row r="639" spans="19:20">
      <c r="S639" s="205"/>
      <c r="T639" s="205"/>
    </row>
    <row r="640" spans="19:20">
      <c r="S640" s="205"/>
      <c r="T640" s="205"/>
    </row>
    <row r="641" spans="19:20">
      <c r="S641" s="205"/>
      <c r="T641" s="205"/>
    </row>
    <row r="642" spans="19:20">
      <c r="S642" s="205"/>
      <c r="T642" s="205"/>
    </row>
    <row r="643" spans="19:20">
      <c r="S643" s="205"/>
      <c r="T643" s="205"/>
    </row>
    <row r="644" spans="19:20">
      <c r="S644" s="205"/>
      <c r="T644" s="205"/>
    </row>
    <row r="645" spans="19:20">
      <c r="S645" s="205"/>
      <c r="T645" s="205"/>
    </row>
    <row r="646" spans="19:20">
      <c r="S646" s="205"/>
      <c r="T646" s="205"/>
    </row>
    <row r="647" spans="19:20">
      <c r="S647" s="205"/>
      <c r="T647" s="205"/>
    </row>
    <row r="648" spans="19:20">
      <c r="S648" s="205"/>
      <c r="T648" s="205"/>
    </row>
    <row r="649" spans="19:20">
      <c r="S649" s="205"/>
      <c r="T649" s="205"/>
    </row>
    <row r="650" spans="19:20">
      <c r="S650" s="205"/>
      <c r="T650" s="205"/>
    </row>
    <row r="651" spans="19:20">
      <c r="S651" s="205"/>
      <c r="T651" s="205"/>
    </row>
    <row r="652" spans="19:20">
      <c r="S652" s="205"/>
      <c r="T652" s="205"/>
    </row>
    <row r="653" spans="19:20">
      <c r="S653" s="205"/>
      <c r="T653" s="205"/>
    </row>
    <row r="654" spans="19:20">
      <c r="S654" s="205"/>
      <c r="T654" s="205"/>
    </row>
    <row r="655" spans="19:20">
      <c r="S655" s="205"/>
      <c r="T655" s="205"/>
    </row>
    <row r="656" spans="19:20">
      <c r="S656" s="205"/>
      <c r="T656" s="205"/>
    </row>
    <row r="657" spans="13:20">
      <c r="S657" s="205"/>
      <c r="T657" s="205"/>
    </row>
    <row r="658" spans="13:20">
      <c r="S658" s="205"/>
      <c r="T658" s="205"/>
    </row>
    <row r="659" spans="13:20">
      <c r="S659" s="205"/>
      <c r="T659" s="205"/>
    </row>
    <row r="660" spans="13:20">
      <c r="S660" s="205"/>
      <c r="T660" s="205"/>
    </row>
    <row r="661" spans="13:20">
      <c r="S661" s="205"/>
      <c r="T661" s="205"/>
    </row>
    <row r="662" spans="13:20">
      <c r="S662" s="205"/>
      <c r="T662" s="205"/>
    </row>
    <row r="663" spans="13:20">
      <c r="S663" s="205"/>
      <c r="T663" s="205"/>
    </row>
    <row r="664" spans="13:20">
      <c r="S664" s="205"/>
      <c r="T664" s="205"/>
    </row>
    <row r="665" spans="13:20">
      <c r="S665" s="205"/>
      <c r="T665" s="205"/>
    </row>
    <row r="666" spans="13:20">
      <c r="S666" s="205"/>
      <c r="T666" s="205"/>
    </row>
    <row r="667" spans="13:20">
      <c r="S667" s="205"/>
      <c r="T667" s="205"/>
    </row>
    <row r="668" spans="13:20">
      <c r="S668" s="205"/>
      <c r="T668" s="205"/>
    </row>
    <row r="669" spans="13:20">
      <c r="S669" s="205"/>
      <c r="T669" s="205"/>
    </row>
    <row r="670" spans="13:20">
      <c r="S670" s="205"/>
      <c r="T670" s="205"/>
    </row>
    <row r="671" spans="13:20">
      <c r="S671" s="205"/>
      <c r="T671" s="205"/>
    </row>
    <row r="672" spans="13:20">
      <c r="M672" s="188"/>
      <c r="S672" s="205"/>
      <c r="T672" s="205"/>
    </row>
    <row r="673" spans="13:20">
      <c r="M673" s="188"/>
      <c r="S673" s="205"/>
      <c r="T673" s="205"/>
    </row>
    <row r="674" spans="13:20">
      <c r="M674" s="188"/>
      <c r="S674" s="205"/>
      <c r="T674" s="205"/>
    </row>
    <row r="675" spans="13:20">
      <c r="M675" s="188"/>
      <c r="S675" s="205"/>
      <c r="T675" s="205"/>
    </row>
    <row r="676" spans="13:20">
      <c r="M676" s="188"/>
      <c r="S676" s="205"/>
      <c r="T676" s="205"/>
    </row>
    <row r="677" spans="13:20">
      <c r="M677" s="188"/>
      <c r="S677" s="205"/>
      <c r="T677" s="205"/>
    </row>
    <row r="678" spans="13:20">
      <c r="M678" s="188"/>
      <c r="S678" s="205"/>
      <c r="T678" s="205"/>
    </row>
    <row r="679" spans="13:20">
      <c r="M679" s="188"/>
      <c r="S679" s="205"/>
      <c r="T679" s="205"/>
    </row>
    <row r="680" spans="13:20">
      <c r="M680" s="188"/>
      <c r="S680" s="205"/>
      <c r="T680" s="205"/>
    </row>
    <row r="681" spans="13:20">
      <c r="M681" s="188"/>
      <c r="S681" s="205"/>
      <c r="T681" s="205"/>
    </row>
    <row r="682" spans="13:20">
      <c r="M682" s="188"/>
      <c r="S682" s="205"/>
      <c r="T682" s="205"/>
    </row>
    <row r="683" spans="13:20">
      <c r="M683" s="188"/>
      <c r="S683" s="205"/>
      <c r="T683" s="205"/>
    </row>
    <row r="684" spans="13:20">
      <c r="M684" s="188"/>
      <c r="S684" s="205"/>
      <c r="T684" s="205"/>
    </row>
    <row r="685" spans="13:20">
      <c r="M685" s="188"/>
      <c r="S685" s="205"/>
      <c r="T685" s="205"/>
    </row>
    <row r="686" spans="13:20">
      <c r="M686" s="188"/>
      <c r="S686" s="205"/>
      <c r="T686" s="205"/>
    </row>
    <row r="687" spans="13:20">
      <c r="M687" s="188"/>
      <c r="S687" s="205"/>
      <c r="T687" s="205"/>
    </row>
    <row r="688" spans="13:20">
      <c r="M688" s="188"/>
      <c r="S688" s="205"/>
      <c r="T688" s="205"/>
    </row>
    <row r="689" spans="13:20">
      <c r="M689" s="188"/>
      <c r="S689" s="205"/>
      <c r="T689" s="205"/>
    </row>
    <row r="690" spans="13:20">
      <c r="M690" s="188"/>
      <c r="S690" s="205"/>
      <c r="T690" s="205"/>
    </row>
    <row r="691" spans="13:20">
      <c r="M691" s="188"/>
      <c r="S691" s="205"/>
      <c r="T691" s="205"/>
    </row>
    <row r="692" spans="13:20">
      <c r="M692" s="188"/>
      <c r="S692" s="205"/>
      <c r="T692" s="205"/>
    </row>
    <row r="693" spans="13:20">
      <c r="M693" s="188"/>
      <c r="S693" s="205"/>
      <c r="T693" s="205"/>
    </row>
    <row r="694" spans="13:20">
      <c r="M694" s="188"/>
      <c r="S694" s="205"/>
      <c r="T694" s="205"/>
    </row>
    <row r="695" spans="13:20">
      <c r="M695" s="188"/>
      <c r="S695" s="205"/>
      <c r="T695" s="205"/>
    </row>
    <row r="696" spans="13:20">
      <c r="M696" s="188"/>
      <c r="S696" s="205"/>
      <c r="T696" s="205"/>
    </row>
    <row r="697" spans="13:20">
      <c r="M697" s="188"/>
      <c r="S697" s="205"/>
      <c r="T697" s="205"/>
    </row>
    <row r="698" spans="13:20">
      <c r="M698" s="188"/>
      <c r="S698" s="205"/>
      <c r="T698" s="205"/>
    </row>
    <row r="699" spans="13:20">
      <c r="M699" s="188"/>
      <c r="S699" s="205"/>
      <c r="T699" s="205"/>
    </row>
    <row r="700" spans="13:20">
      <c r="M700" s="188"/>
      <c r="S700" s="205"/>
      <c r="T700" s="205"/>
    </row>
    <row r="701" spans="13:20">
      <c r="M701" s="188"/>
      <c r="S701" s="205"/>
      <c r="T701" s="205"/>
    </row>
    <row r="702" spans="13:20">
      <c r="M702" s="188"/>
      <c r="S702" s="205"/>
      <c r="T702" s="205"/>
    </row>
    <row r="703" spans="13:20">
      <c r="M703" s="188"/>
      <c r="S703" s="205"/>
      <c r="T703" s="205"/>
    </row>
    <row r="704" spans="13:20">
      <c r="M704" s="188"/>
      <c r="S704" s="205"/>
      <c r="T704" s="205"/>
    </row>
    <row r="705" spans="13:20">
      <c r="M705" s="188"/>
      <c r="S705" s="205"/>
      <c r="T705" s="205"/>
    </row>
    <row r="706" spans="13:20">
      <c r="M706" s="188"/>
      <c r="S706" s="205"/>
      <c r="T706" s="205"/>
    </row>
    <row r="707" spans="13:20">
      <c r="M707" s="188"/>
      <c r="S707" s="205"/>
      <c r="T707" s="205"/>
    </row>
    <row r="708" spans="13:20">
      <c r="M708" s="188"/>
      <c r="S708" s="205"/>
      <c r="T708" s="205"/>
    </row>
    <row r="709" spans="13:20">
      <c r="M709" s="188"/>
      <c r="S709" s="205"/>
      <c r="T709" s="205"/>
    </row>
    <row r="710" spans="13:20">
      <c r="M710" s="188"/>
      <c r="S710" s="205"/>
      <c r="T710" s="205"/>
    </row>
    <row r="711" spans="13:20">
      <c r="M711" s="188"/>
      <c r="S711" s="205"/>
      <c r="T711" s="205"/>
    </row>
    <row r="712" spans="13:20">
      <c r="M712" s="188"/>
      <c r="S712" s="205"/>
      <c r="T712" s="205"/>
    </row>
    <row r="713" spans="13:20">
      <c r="M713" s="188"/>
      <c r="S713" s="205"/>
      <c r="T713" s="205"/>
    </row>
    <row r="714" spans="13:20">
      <c r="M714" s="188"/>
      <c r="S714" s="205"/>
      <c r="T714" s="205"/>
    </row>
    <row r="715" spans="13:20">
      <c r="M715" s="188"/>
      <c r="S715" s="205"/>
      <c r="T715" s="205"/>
    </row>
    <row r="716" spans="13:20">
      <c r="M716" s="188"/>
      <c r="S716" s="205"/>
      <c r="T716" s="205"/>
    </row>
    <row r="717" spans="13:20">
      <c r="M717" s="188"/>
      <c r="S717" s="205"/>
      <c r="T717" s="205"/>
    </row>
    <row r="718" spans="13:20">
      <c r="M718" s="188"/>
      <c r="S718" s="205"/>
      <c r="T718" s="205"/>
    </row>
    <row r="719" spans="13:20">
      <c r="M719" s="188"/>
      <c r="S719" s="205"/>
      <c r="T719" s="205"/>
    </row>
    <row r="720" spans="13:20">
      <c r="M720" s="188"/>
      <c r="S720" s="205"/>
      <c r="T720" s="205"/>
    </row>
    <row r="721" spans="13:20">
      <c r="M721" s="188"/>
      <c r="S721" s="205"/>
      <c r="T721" s="205"/>
    </row>
    <row r="722" spans="13:20">
      <c r="M722" s="188"/>
      <c r="S722" s="205"/>
      <c r="T722" s="205"/>
    </row>
    <row r="723" spans="13:20">
      <c r="M723" s="188"/>
      <c r="S723" s="205"/>
      <c r="T723" s="205"/>
    </row>
    <row r="724" spans="13:20">
      <c r="M724" s="188"/>
      <c r="S724" s="205"/>
      <c r="T724" s="205"/>
    </row>
    <row r="725" spans="13:20">
      <c r="M725" s="188"/>
      <c r="S725" s="205"/>
      <c r="T725" s="205"/>
    </row>
    <row r="726" spans="13:20">
      <c r="M726" s="188"/>
      <c r="S726" s="205"/>
      <c r="T726" s="205"/>
    </row>
    <row r="727" spans="13:20">
      <c r="M727" s="188"/>
      <c r="S727" s="205"/>
      <c r="T727" s="205"/>
    </row>
    <row r="728" spans="13:20">
      <c r="M728" s="188"/>
      <c r="S728" s="205"/>
      <c r="T728" s="205"/>
    </row>
    <row r="729" spans="13:20">
      <c r="M729" s="188"/>
      <c r="S729" s="205"/>
      <c r="T729" s="205"/>
    </row>
    <row r="730" spans="13:20">
      <c r="M730" s="188"/>
      <c r="S730" s="205"/>
      <c r="T730" s="205"/>
    </row>
    <row r="731" spans="13:20">
      <c r="M731" s="188"/>
      <c r="S731" s="205"/>
      <c r="T731" s="205"/>
    </row>
    <row r="732" spans="13:20">
      <c r="M732" s="188"/>
      <c r="S732" s="205"/>
      <c r="T732" s="205"/>
    </row>
    <row r="733" spans="13:20">
      <c r="M733" s="188"/>
      <c r="S733" s="205"/>
      <c r="T733" s="205"/>
    </row>
    <row r="734" spans="13:20">
      <c r="M734" s="188"/>
      <c r="S734" s="205"/>
      <c r="T734" s="205"/>
    </row>
    <row r="735" spans="13:20">
      <c r="M735" s="188"/>
      <c r="S735" s="205"/>
      <c r="T735" s="205"/>
    </row>
    <row r="736" spans="13:20">
      <c r="M736" s="188"/>
      <c r="S736" s="205"/>
      <c r="T736" s="205"/>
    </row>
    <row r="737" spans="13:20">
      <c r="M737" s="188"/>
      <c r="S737" s="205"/>
      <c r="T737" s="205"/>
    </row>
    <row r="738" spans="13:20">
      <c r="M738" s="188"/>
      <c r="S738" s="205"/>
      <c r="T738" s="205"/>
    </row>
    <row r="739" spans="13:20">
      <c r="M739" s="188"/>
      <c r="S739" s="205"/>
      <c r="T739" s="205"/>
    </row>
    <row r="740" spans="13:20">
      <c r="M740" s="188"/>
      <c r="S740" s="205"/>
      <c r="T740" s="205"/>
    </row>
    <row r="741" spans="13:20">
      <c r="M741" s="188"/>
      <c r="S741" s="205"/>
      <c r="T741" s="205"/>
    </row>
    <row r="742" spans="13:20">
      <c r="M742" s="188"/>
      <c r="S742" s="205"/>
      <c r="T742" s="205"/>
    </row>
    <row r="743" spans="13:20">
      <c r="M743" s="188"/>
      <c r="S743" s="205"/>
      <c r="T743" s="205"/>
    </row>
    <row r="744" spans="13:20">
      <c r="M744" s="188"/>
      <c r="S744" s="210"/>
      <c r="T744" s="210"/>
    </row>
    <row r="745" spans="13:20">
      <c r="M745" s="188"/>
      <c r="S745" s="210"/>
      <c r="T745" s="210"/>
    </row>
    <row r="746" spans="13:20">
      <c r="M746" s="188"/>
      <c r="S746" s="210"/>
      <c r="T746" s="210"/>
    </row>
    <row r="747" spans="13:20">
      <c r="M747" s="188"/>
      <c r="S747" s="210"/>
      <c r="T747" s="210"/>
    </row>
    <row r="748" spans="13:20">
      <c r="M748" s="188"/>
      <c r="S748" s="210"/>
      <c r="T748" s="210"/>
    </row>
    <row r="749" spans="13:20">
      <c r="M749" s="188"/>
      <c r="S749" s="210"/>
      <c r="T749" s="210"/>
    </row>
    <row r="750" spans="13:20">
      <c r="M750" s="188"/>
      <c r="S750" s="205"/>
      <c r="T750" s="205"/>
    </row>
    <row r="751" spans="13:20">
      <c r="M751" s="188"/>
      <c r="S751" s="205"/>
      <c r="T751" s="205"/>
    </row>
    <row r="752" spans="13:20">
      <c r="M752" s="188"/>
      <c r="S752" s="205"/>
      <c r="T752" s="205"/>
    </row>
    <row r="753" spans="13:20">
      <c r="M753" s="188"/>
      <c r="S753" s="205"/>
      <c r="T753" s="205"/>
    </row>
    <row r="754" spans="13:20">
      <c r="M754" s="188"/>
      <c r="S754" s="205"/>
      <c r="T754" s="205"/>
    </row>
    <row r="755" spans="13:20">
      <c r="M755" s="188"/>
      <c r="S755" s="205"/>
      <c r="T755" s="205"/>
    </row>
    <row r="756" spans="13:20">
      <c r="M756" s="188"/>
      <c r="S756" s="205"/>
      <c r="T756" s="205"/>
    </row>
    <row r="757" spans="13:20">
      <c r="M757" s="188"/>
      <c r="S757" s="205"/>
      <c r="T757" s="205"/>
    </row>
    <row r="758" spans="13:20">
      <c r="M758" s="188"/>
      <c r="S758" s="205"/>
      <c r="T758" s="205"/>
    </row>
    <row r="759" spans="13:20">
      <c r="M759" s="188"/>
      <c r="S759" s="205"/>
      <c r="T759" s="205"/>
    </row>
    <row r="760" spans="13:20">
      <c r="M760" s="188"/>
      <c r="S760" s="205"/>
      <c r="T760" s="205"/>
    </row>
    <row r="761" spans="13:20">
      <c r="M761" s="188"/>
      <c r="S761" s="205"/>
      <c r="T761" s="205"/>
    </row>
    <row r="762" spans="13:20">
      <c r="M762" s="188"/>
      <c r="S762" s="205"/>
      <c r="T762" s="205"/>
    </row>
    <row r="763" spans="13:20">
      <c r="M763" s="188"/>
      <c r="S763" s="205"/>
      <c r="T763" s="205"/>
    </row>
    <row r="764" spans="13:20">
      <c r="M764" s="188"/>
      <c r="S764" s="205"/>
      <c r="T764" s="205"/>
    </row>
    <row r="765" spans="13:20">
      <c r="M765" s="188"/>
      <c r="S765" s="205"/>
      <c r="T765" s="205"/>
    </row>
    <row r="766" spans="13:20">
      <c r="M766" s="188"/>
      <c r="S766" s="205"/>
      <c r="T766" s="205"/>
    </row>
    <row r="767" spans="13:20">
      <c r="M767" s="188"/>
      <c r="S767" s="205"/>
      <c r="T767" s="205"/>
    </row>
    <row r="768" spans="13:20">
      <c r="M768" s="188"/>
      <c r="S768" s="205"/>
      <c r="T768" s="205"/>
    </row>
    <row r="769" spans="13:20">
      <c r="M769" s="188"/>
      <c r="S769" s="205"/>
      <c r="T769" s="205"/>
    </row>
    <row r="770" spans="13:20">
      <c r="M770" s="188"/>
      <c r="S770" s="205"/>
      <c r="T770" s="205"/>
    </row>
    <row r="771" spans="13:20">
      <c r="M771" s="188"/>
      <c r="S771" s="205"/>
      <c r="T771" s="205"/>
    </row>
    <row r="772" spans="13:20">
      <c r="M772" s="188"/>
      <c r="S772" s="205"/>
      <c r="T772" s="205"/>
    </row>
    <row r="773" spans="13:20">
      <c r="M773" s="188"/>
      <c r="S773" s="205"/>
      <c r="T773" s="205"/>
    </row>
    <row r="774" spans="13:20">
      <c r="M774" s="188"/>
      <c r="S774" s="205"/>
      <c r="T774" s="205"/>
    </row>
    <row r="775" spans="13:20">
      <c r="M775" s="188"/>
      <c r="S775" s="205"/>
      <c r="T775" s="205"/>
    </row>
    <row r="776" spans="13:20">
      <c r="M776" s="188"/>
      <c r="S776" s="205"/>
      <c r="T776" s="205"/>
    </row>
    <row r="777" spans="13:20">
      <c r="M777" s="188"/>
      <c r="S777" s="205"/>
      <c r="T777" s="205"/>
    </row>
    <row r="778" spans="13:20">
      <c r="M778" s="188"/>
      <c r="S778" s="205"/>
      <c r="T778" s="205"/>
    </row>
    <row r="779" spans="13:20">
      <c r="M779" s="188"/>
      <c r="S779" s="205"/>
      <c r="T779" s="205"/>
    </row>
    <row r="780" spans="13:20">
      <c r="M780" s="188"/>
      <c r="S780" s="205"/>
      <c r="T780" s="205"/>
    </row>
    <row r="781" spans="13:20">
      <c r="M781" s="188"/>
      <c r="S781" s="205"/>
      <c r="T781" s="205"/>
    </row>
    <row r="782" spans="13:20">
      <c r="M782" s="188"/>
      <c r="S782" s="205"/>
      <c r="T782" s="205"/>
    </row>
    <row r="783" spans="13:20">
      <c r="M783" s="188"/>
      <c r="S783" s="205"/>
      <c r="T783" s="205"/>
    </row>
    <row r="784" spans="13:20">
      <c r="M784" s="188"/>
      <c r="S784" s="205"/>
      <c r="T784" s="205"/>
    </row>
    <row r="785" spans="13:20">
      <c r="M785" s="188"/>
      <c r="S785" s="205"/>
      <c r="T785" s="205"/>
    </row>
    <row r="786" spans="13:20">
      <c r="M786" s="188"/>
      <c r="S786" s="205"/>
      <c r="T786" s="205"/>
    </row>
    <row r="787" spans="13:20">
      <c r="M787" s="188"/>
      <c r="S787" s="205"/>
      <c r="T787" s="205"/>
    </row>
    <row r="788" spans="13:20">
      <c r="M788" s="188"/>
      <c r="S788" s="205"/>
      <c r="T788" s="205"/>
    </row>
    <row r="789" spans="13:20">
      <c r="M789" s="188"/>
      <c r="S789" s="205"/>
      <c r="T789" s="205"/>
    </row>
    <row r="790" spans="13:20">
      <c r="M790" s="188"/>
      <c r="S790" s="205"/>
      <c r="T790" s="205"/>
    </row>
    <row r="791" spans="13:20">
      <c r="M791" s="188"/>
      <c r="S791" s="205"/>
      <c r="T791" s="205"/>
    </row>
    <row r="792" spans="13:20">
      <c r="M792" s="188"/>
      <c r="S792" s="205"/>
      <c r="T792" s="205"/>
    </row>
  </sheetData>
  <autoFilter xmlns:etc="http://www.wps.cn/officeDocument/2017/etCustomData" ref="A2:S83" etc:filterBottomFollowUsedRange="0">
    <extLst/>
  </autoFilter>
  <sortState ref="A3:T83">
    <sortCondition ref="A3:A83"/>
    <sortCondition ref="B3:B83"/>
  </sortState>
  <mergeCells count="1">
    <mergeCell ref="I1:T1"/>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C8"/>
  <sheetViews>
    <sheetView workbookViewId="0">
      <selection activeCell="F15" sqref="F15"/>
    </sheetView>
  </sheetViews>
  <sheetFormatPr defaultColWidth="11" defaultRowHeight="12.5" outlineLevelRow="7" outlineLevelCol="2"/>
  <sheetData>
    <row r="3" ht="15" spans="3:3">
      <c r="C3" s="192" t="s">
        <v>189</v>
      </c>
    </row>
    <row r="4" spans="3:3">
      <c r="C4" s="193"/>
    </row>
    <row r="5" ht="15" spans="3:3">
      <c r="C5" s="194" t="s">
        <v>190</v>
      </c>
    </row>
    <row r="6" ht="15" spans="3:3">
      <c r="C6" s="194" t="s">
        <v>191</v>
      </c>
    </row>
    <row r="7" ht="15" spans="3:3">
      <c r="C7" s="194" t="s">
        <v>192</v>
      </c>
    </row>
    <row r="8" ht="15" spans="3:3">
      <c r="C8" s="192" t="s">
        <v>193</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54"/>
  <sheetViews>
    <sheetView workbookViewId="0">
      <selection activeCell="F22" sqref="F22"/>
    </sheetView>
  </sheetViews>
  <sheetFormatPr defaultColWidth="11" defaultRowHeight="12.5"/>
  <cols>
    <col min="2" max="2" width="19.2181818181818" customWidth="1"/>
    <col min="4" max="4" width="7.21818181818182" customWidth="1"/>
    <col min="6" max="8" width="10.8909090909091" style="185"/>
    <col min="9" max="9" width="18.2181818181818" customWidth="1"/>
  </cols>
  <sheetData>
    <row r="2" ht="13" spans="2:13">
      <c r="B2" s="186" t="s">
        <v>100</v>
      </c>
      <c r="C2" s="186" t="s">
        <v>101</v>
      </c>
      <c r="D2" s="186" t="s">
        <v>142</v>
      </c>
      <c r="E2" s="187" t="s">
        <v>194</v>
      </c>
      <c r="F2" s="187" t="s">
        <v>195</v>
      </c>
      <c r="G2" s="187" t="s">
        <v>196</v>
      </c>
      <c r="H2" s="188"/>
      <c r="I2" s="186" t="s">
        <v>100</v>
      </c>
      <c r="J2" s="186" t="s">
        <v>101</v>
      </c>
      <c r="K2" s="186" t="s">
        <v>194</v>
      </c>
      <c r="L2" s="186" t="s">
        <v>195</v>
      </c>
      <c r="M2" s="186" t="s">
        <v>196</v>
      </c>
    </row>
    <row r="3" spans="2:13">
      <c r="B3" t="s">
        <v>10</v>
      </c>
      <c r="C3" t="s">
        <v>57</v>
      </c>
      <c r="D3" t="s">
        <v>52</v>
      </c>
      <c r="E3" s="189">
        <v>36</v>
      </c>
      <c r="F3" s="185">
        <v>563</v>
      </c>
      <c r="G3" s="189">
        <f>+F3*E3</f>
        <v>20268</v>
      </c>
      <c r="I3" t="s">
        <v>10</v>
      </c>
      <c r="J3" t="s">
        <v>68</v>
      </c>
      <c r="K3" s="189">
        <v>45</v>
      </c>
      <c r="L3" s="185">
        <v>628</v>
      </c>
      <c r="M3" s="189">
        <f>+L3*K3</f>
        <v>28260</v>
      </c>
    </row>
    <row r="4" spans="2:13">
      <c r="C4" t="s">
        <v>61</v>
      </c>
      <c r="D4" t="s">
        <v>63</v>
      </c>
      <c r="E4" s="189">
        <v>150</v>
      </c>
      <c r="F4" s="185">
        <v>640</v>
      </c>
      <c r="G4" s="189">
        <f t="shared" ref="G4:G8" si="0">+F4*E4</f>
        <v>96000</v>
      </c>
      <c r="J4" t="s">
        <v>197</v>
      </c>
      <c r="K4" s="189">
        <v>15.4309462271068</v>
      </c>
      <c r="L4" s="185">
        <v>580</v>
      </c>
      <c r="M4" s="189">
        <f t="shared" ref="M4:M10" si="1">+L4*K4</f>
        <v>8949.94881172194</v>
      </c>
    </row>
    <row r="5" spans="2:13">
      <c r="C5" t="s">
        <v>58</v>
      </c>
      <c r="D5" t="s">
        <v>52</v>
      </c>
      <c r="E5" s="189">
        <v>165</v>
      </c>
      <c r="F5" s="185">
        <v>622</v>
      </c>
      <c r="G5" s="189">
        <f t="shared" si="0"/>
        <v>102630</v>
      </c>
      <c r="J5" t="s">
        <v>198</v>
      </c>
      <c r="K5" s="189">
        <v>8.74441532906863</v>
      </c>
      <c r="L5" s="185">
        <v>697</v>
      </c>
      <c r="M5" s="189">
        <f t="shared" si="1"/>
        <v>6094.85748436083</v>
      </c>
    </row>
    <row r="6" spans="2:13">
      <c r="C6" t="s">
        <v>40</v>
      </c>
      <c r="D6" t="s">
        <v>39</v>
      </c>
      <c r="E6" s="189">
        <v>2350</v>
      </c>
      <c r="F6" s="185">
        <v>730</v>
      </c>
      <c r="G6" s="189">
        <f t="shared" si="0"/>
        <v>1715500</v>
      </c>
      <c r="J6" t="s">
        <v>86</v>
      </c>
      <c r="K6" s="189">
        <v>55.7538009683102</v>
      </c>
      <c r="L6" s="185">
        <v>585</v>
      </c>
      <c r="M6" s="189">
        <f t="shared" si="1"/>
        <v>32615.9735664615</v>
      </c>
    </row>
    <row r="7" ht="13" spans="2:13">
      <c r="C7" t="s">
        <v>55</v>
      </c>
      <c r="D7" t="s">
        <v>52</v>
      </c>
      <c r="E7" s="189">
        <v>495.643270891923</v>
      </c>
      <c r="F7" s="185">
        <v>569</v>
      </c>
      <c r="G7" s="189">
        <f t="shared" si="0"/>
        <v>282021.021137504</v>
      </c>
      <c r="I7" s="186" t="s">
        <v>199</v>
      </c>
      <c r="J7" s="186"/>
      <c r="K7" s="190">
        <v>124.929162524486</v>
      </c>
      <c r="L7" s="190"/>
      <c r="M7" s="190">
        <f>+SUM(M3:M6)</f>
        <v>75920.7798625442</v>
      </c>
    </row>
    <row r="8" spans="2:13">
      <c r="C8" t="s">
        <v>56</v>
      </c>
      <c r="D8" t="s">
        <v>52</v>
      </c>
      <c r="E8" s="189">
        <v>300</v>
      </c>
      <c r="F8" s="185">
        <v>600</v>
      </c>
      <c r="G8" s="189">
        <f t="shared" si="0"/>
        <v>180000</v>
      </c>
      <c r="I8" t="s">
        <v>26</v>
      </c>
      <c r="J8" t="s">
        <v>71</v>
      </c>
      <c r="K8" s="189">
        <v>5.27213563731744</v>
      </c>
      <c r="L8" s="185">
        <v>585</v>
      </c>
      <c r="M8" s="189">
        <f t="shared" si="1"/>
        <v>3084.1993478307</v>
      </c>
    </row>
    <row r="9" ht="13" spans="2:13">
      <c r="B9" s="186" t="s">
        <v>199</v>
      </c>
      <c r="C9" s="186"/>
      <c r="D9" s="186"/>
      <c r="E9" s="190">
        <f>+SUM(E3:E8)</f>
        <v>3496.64327089192</v>
      </c>
      <c r="F9" s="187"/>
      <c r="G9" s="190">
        <f>+SUM(G3:G8)</f>
        <v>2396419.0211375</v>
      </c>
      <c r="J9" t="s">
        <v>77</v>
      </c>
      <c r="K9" s="189">
        <v>293.147818188114</v>
      </c>
      <c r="L9" s="185">
        <v>680</v>
      </c>
      <c r="M9" s="189">
        <f t="shared" si="1"/>
        <v>199340.516367918</v>
      </c>
    </row>
    <row r="10" spans="2:13">
      <c r="B10" t="s">
        <v>26</v>
      </c>
      <c r="C10" t="s">
        <v>64</v>
      </c>
      <c r="D10" t="s">
        <v>63</v>
      </c>
      <c r="E10" s="189">
        <v>120</v>
      </c>
      <c r="F10" s="185">
        <v>625</v>
      </c>
      <c r="G10" s="189">
        <f>+F10*E10</f>
        <v>75000</v>
      </c>
      <c r="J10" t="s">
        <v>79</v>
      </c>
      <c r="K10" s="189">
        <v>272.5</v>
      </c>
      <c r="L10" s="185">
        <v>612</v>
      </c>
      <c r="M10" s="189">
        <f t="shared" si="1"/>
        <v>166770</v>
      </c>
    </row>
    <row r="11" ht="13" spans="2:13">
      <c r="C11" t="s">
        <v>59</v>
      </c>
      <c r="D11" t="s">
        <v>52</v>
      </c>
      <c r="E11" s="189">
        <v>2911</v>
      </c>
      <c r="F11" s="185">
        <v>563</v>
      </c>
      <c r="G11" s="189">
        <f t="shared" ref="G11:G16" si="2">+F11*E11</f>
        <v>1638893</v>
      </c>
      <c r="I11" s="186" t="s">
        <v>200</v>
      </c>
      <c r="J11" s="186"/>
      <c r="K11" s="190">
        <v>570.919953825432</v>
      </c>
      <c r="L11" s="190"/>
      <c r="M11" s="190">
        <f>+SUM(M8:M10)</f>
        <v>369194.715715748</v>
      </c>
    </row>
    <row r="12" ht="13" spans="2:13">
      <c r="C12" t="s">
        <v>92</v>
      </c>
      <c r="D12" t="s">
        <v>52</v>
      </c>
      <c r="E12" s="189">
        <v>230</v>
      </c>
      <c r="F12" s="189">
        <v>589</v>
      </c>
      <c r="G12" s="189">
        <f t="shared" si="2"/>
        <v>135470</v>
      </c>
      <c r="I12" s="186" t="s">
        <v>201</v>
      </c>
      <c r="J12" s="186"/>
      <c r="K12" s="190">
        <v>695.849116349917</v>
      </c>
      <c r="L12" s="190"/>
      <c r="M12" s="190">
        <f>+M11+M7</f>
        <v>445115.495578293</v>
      </c>
    </row>
    <row r="13" spans="2:13">
      <c r="C13" s="191" t="s">
        <v>43</v>
      </c>
      <c r="D13" s="191" t="s">
        <v>39</v>
      </c>
      <c r="E13" s="185">
        <v>722</v>
      </c>
      <c r="F13" s="185">
        <v>687</v>
      </c>
      <c r="G13" s="189">
        <f t="shared" si="2"/>
        <v>496014</v>
      </c>
    </row>
    <row r="14" spans="2:13">
      <c r="C14" t="s">
        <v>94</v>
      </c>
      <c r="D14" t="s">
        <v>39</v>
      </c>
      <c r="E14" s="189">
        <v>570</v>
      </c>
      <c r="F14" s="185">
        <v>754</v>
      </c>
      <c r="G14" s="189">
        <f t="shared" si="2"/>
        <v>429780</v>
      </c>
    </row>
    <row r="15" spans="2:13">
      <c r="C15" t="s">
        <v>44</v>
      </c>
      <c r="D15" t="s">
        <v>39</v>
      </c>
      <c r="E15" s="189">
        <v>100</v>
      </c>
      <c r="F15" s="185">
        <v>659</v>
      </c>
      <c r="G15" s="189">
        <f t="shared" si="2"/>
        <v>65900</v>
      </c>
    </row>
    <row r="16" spans="2:13">
      <c r="C16" t="s">
        <v>35</v>
      </c>
      <c r="D16" t="s">
        <v>32</v>
      </c>
      <c r="E16" s="189">
        <v>25</v>
      </c>
      <c r="F16" s="189">
        <v>1044</v>
      </c>
      <c r="G16" s="189">
        <f t="shared" si="2"/>
        <v>26100</v>
      </c>
    </row>
    <row r="17" ht="13" spans="2:7">
      <c r="B17" s="186" t="s">
        <v>200</v>
      </c>
      <c r="C17" s="186"/>
      <c r="D17" s="186"/>
      <c r="E17" s="190">
        <f>+SUM(E10:E16)</f>
        <v>4678</v>
      </c>
      <c r="F17" s="187"/>
      <c r="G17" s="190">
        <f>+SUM(G10:G16)</f>
        <v>2867157</v>
      </c>
    </row>
    <row r="18" ht="13" spans="2:7">
      <c r="B18" s="186" t="s">
        <v>201</v>
      </c>
      <c r="C18" s="186"/>
      <c r="D18" s="186"/>
      <c r="E18" s="190">
        <f>+E17+E9</f>
        <v>8174.64327089192</v>
      </c>
      <c r="F18" s="190"/>
      <c r="G18" s="190">
        <f>+G17+G9</f>
        <v>5263576.0211375</v>
      </c>
    </row>
    <row r="22" ht="13" spans="2:7">
      <c r="B22" s="186" t="s">
        <v>100</v>
      </c>
      <c r="C22" s="187" t="s">
        <v>194</v>
      </c>
    </row>
    <row r="23" spans="2:7">
      <c r="B23" s="191" t="s">
        <v>10</v>
      </c>
      <c r="C23" s="189">
        <f>+E9+K7</f>
        <v>3621.57243341641</v>
      </c>
    </row>
    <row r="24" spans="2:7">
      <c r="B24" s="191" t="s">
        <v>202</v>
      </c>
      <c r="C24" s="189">
        <f>+E17+K11</f>
        <v>5248.91995382543</v>
      </c>
    </row>
    <row r="25" ht="13" spans="2:7">
      <c r="B25" s="186" t="s">
        <v>203</v>
      </c>
      <c r="C25" s="190">
        <f>+C23+C24</f>
        <v>8870.49238724184</v>
      </c>
    </row>
    <row r="27" ht="13" spans="2:7">
      <c r="B27" s="186" t="s">
        <v>100</v>
      </c>
      <c r="C27" s="186" t="s">
        <v>101</v>
      </c>
      <c r="D27" s="186" t="s">
        <v>142</v>
      </c>
      <c r="E27" s="187" t="s">
        <v>194</v>
      </c>
      <c r="F27" s="187" t="s">
        <v>195</v>
      </c>
      <c r="G27" s="187" t="s">
        <v>196</v>
      </c>
    </row>
    <row r="28" spans="2:7">
      <c r="B28" t="s">
        <v>10</v>
      </c>
      <c r="C28" t="s">
        <v>57</v>
      </c>
      <c r="D28" t="s">
        <v>52</v>
      </c>
      <c r="E28" s="189">
        <v>36</v>
      </c>
      <c r="F28" s="185">
        <v>563</v>
      </c>
      <c r="G28" s="189">
        <f>+F28*E28</f>
        <v>20268</v>
      </c>
    </row>
    <row r="29" spans="2:7">
      <c r="C29" t="s">
        <v>61</v>
      </c>
      <c r="D29" t="s">
        <v>63</v>
      </c>
      <c r="E29" s="189">
        <v>150</v>
      </c>
      <c r="F29" s="185">
        <v>640</v>
      </c>
      <c r="G29" s="189">
        <f t="shared" ref="G29:G33" si="3">+F29*E29</f>
        <v>96000</v>
      </c>
    </row>
    <row r="30" spans="2:7">
      <c r="C30" t="s">
        <v>58</v>
      </c>
      <c r="D30" t="s">
        <v>52</v>
      </c>
      <c r="E30" s="189">
        <v>165</v>
      </c>
      <c r="F30" s="185">
        <v>622</v>
      </c>
      <c r="G30" s="189">
        <f t="shared" si="3"/>
        <v>102630</v>
      </c>
    </row>
    <row r="31" spans="2:7">
      <c r="C31" t="s">
        <v>40</v>
      </c>
      <c r="D31" t="s">
        <v>39</v>
      </c>
      <c r="E31" s="189">
        <v>2350</v>
      </c>
      <c r="F31" s="185">
        <v>730</v>
      </c>
      <c r="G31" s="189">
        <f t="shared" si="3"/>
        <v>1715500</v>
      </c>
    </row>
    <row r="32" spans="2:7">
      <c r="C32" t="s">
        <v>55</v>
      </c>
      <c r="D32" t="s">
        <v>52</v>
      </c>
      <c r="E32" s="189">
        <v>495.643270891923</v>
      </c>
      <c r="F32" s="185">
        <v>569</v>
      </c>
      <c r="G32" s="189">
        <f t="shared" si="3"/>
        <v>282021.021137504</v>
      </c>
    </row>
    <row r="33" spans="2:7">
      <c r="C33" t="s">
        <v>56</v>
      </c>
      <c r="D33" t="s">
        <v>52</v>
      </c>
      <c r="E33" s="189">
        <v>300</v>
      </c>
      <c r="F33" s="185">
        <v>600</v>
      </c>
      <c r="G33" s="189">
        <f t="shared" si="3"/>
        <v>180000</v>
      </c>
    </row>
    <row r="34" ht="13" spans="2:7">
      <c r="B34" s="186" t="s">
        <v>199</v>
      </c>
      <c r="C34" s="186"/>
      <c r="D34" s="186"/>
      <c r="E34" s="190">
        <f>+SUM(E28:E33)</f>
        <v>3496.64327089192</v>
      </c>
      <c r="F34" s="187"/>
      <c r="G34" s="190">
        <f>+SUM(G28:G33)</f>
        <v>2396419.0211375</v>
      </c>
    </row>
    <row r="35" spans="2:7">
      <c r="B35" t="s">
        <v>26</v>
      </c>
      <c r="C35" t="s">
        <v>64</v>
      </c>
      <c r="D35" t="s">
        <v>63</v>
      </c>
      <c r="E35" s="189">
        <v>120</v>
      </c>
      <c r="F35" s="185">
        <v>625</v>
      </c>
      <c r="G35" s="189">
        <f>+F35*E35</f>
        <v>75000</v>
      </c>
    </row>
    <row r="36" spans="2:7">
      <c r="C36" t="s">
        <v>94</v>
      </c>
      <c r="D36" t="s">
        <v>39</v>
      </c>
      <c r="E36" s="189">
        <v>570</v>
      </c>
      <c r="F36" s="185">
        <v>754</v>
      </c>
      <c r="G36" s="189">
        <f t="shared" ref="G36:G38" si="4">+F36*E36</f>
        <v>429780</v>
      </c>
    </row>
    <row r="37" spans="2:7">
      <c r="C37" t="s">
        <v>44</v>
      </c>
      <c r="D37" t="s">
        <v>39</v>
      </c>
      <c r="E37" s="189">
        <v>100</v>
      </c>
      <c r="F37" s="185">
        <v>659</v>
      </c>
      <c r="G37" s="189">
        <f t="shared" si="4"/>
        <v>65900</v>
      </c>
    </row>
    <row r="38" spans="2:7">
      <c r="C38" t="s">
        <v>35</v>
      </c>
      <c r="D38" t="s">
        <v>32</v>
      </c>
      <c r="E38" s="189">
        <v>25</v>
      </c>
      <c r="F38" s="189">
        <v>1044</v>
      </c>
      <c r="G38" s="189">
        <f t="shared" si="4"/>
        <v>26100</v>
      </c>
    </row>
    <row r="39" ht="13" spans="2:7">
      <c r="B39" s="186" t="s">
        <v>200</v>
      </c>
      <c r="C39" s="186"/>
      <c r="D39" s="186"/>
      <c r="E39" s="190">
        <f>+SUM(E35:E38)</f>
        <v>815</v>
      </c>
      <c r="F39" s="187"/>
      <c r="G39" s="190">
        <f>+SUM(G35:G38)</f>
        <v>596780</v>
      </c>
    </row>
    <row r="40" ht="13" spans="2:7">
      <c r="B40" s="186" t="s">
        <v>201</v>
      </c>
      <c r="C40" s="186"/>
      <c r="D40" s="186"/>
      <c r="E40" s="190">
        <f>+E39+E34</f>
        <v>4311.64327089192</v>
      </c>
      <c r="F40" s="190"/>
      <c r="G40" s="190">
        <f>+G39+G34</f>
        <v>2993199.0211375</v>
      </c>
    </row>
    <row r="42" ht="13" spans="2:7">
      <c r="B42" s="186" t="s">
        <v>100</v>
      </c>
      <c r="C42" s="186" t="s">
        <v>101</v>
      </c>
      <c r="D42" s="186" t="s">
        <v>194</v>
      </c>
      <c r="E42" s="186" t="s">
        <v>195</v>
      </c>
      <c r="F42" s="186" t="s">
        <v>196</v>
      </c>
    </row>
    <row r="43" spans="2:7">
      <c r="B43" t="s">
        <v>10</v>
      </c>
      <c r="C43" t="s">
        <v>68</v>
      </c>
      <c r="D43" s="189">
        <v>45</v>
      </c>
      <c r="E43" s="185">
        <v>628</v>
      </c>
      <c r="F43" s="189">
        <f>+E43*D43</f>
        <v>28260</v>
      </c>
    </row>
    <row r="44" spans="2:7">
      <c r="C44" t="s">
        <v>197</v>
      </c>
      <c r="D44" s="189">
        <v>15.4309462271068</v>
      </c>
      <c r="E44" s="185">
        <v>580</v>
      </c>
      <c r="F44" s="189">
        <f t="shared" ref="F44:F46" si="5">+E44*D44</f>
        <v>8949.94881172194</v>
      </c>
    </row>
    <row r="45" spans="2:7">
      <c r="C45" t="s">
        <v>198</v>
      </c>
      <c r="D45" s="189">
        <v>8.74441532906863</v>
      </c>
      <c r="E45" s="185">
        <v>697</v>
      </c>
      <c r="F45" s="189">
        <f t="shared" si="5"/>
        <v>6094.85748436083</v>
      </c>
    </row>
    <row r="46" spans="2:7">
      <c r="C46" t="s">
        <v>86</v>
      </c>
      <c r="D46" s="189">
        <v>55.7538009683102</v>
      </c>
      <c r="E46" s="185">
        <v>585</v>
      </c>
      <c r="F46" s="189">
        <f t="shared" si="5"/>
        <v>32615.9735664615</v>
      </c>
    </row>
    <row r="47" ht="13" spans="2:7">
      <c r="B47" s="186" t="s">
        <v>199</v>
      </c>
      <c r="C47" s="186"/>
      <c r="D47" s="190">
        <v>124.929162524486</v>
      </c>
      <c r="E47" s="190"/>
      <c r="F47" s="190">
        <f>+SUM(F43:F46)</f>
        <v>75920.7798625442</v>
      </c>
    </row>
    <row r="48" spans="2:7">
      <c r="B48" t="s">
        <v>26</v>
      </c>
      <c r="C48" t="s">
        <v>71</v>
      </c>
      <c r="D48" s="189">
        <v>5.27213563731744</v>
      </c>
      <c r="E48" s="185">
        <v>585</v>
      </c>
      <c r="F48" s="189">
        <f t="shared" ref="F48:F50" si="6">+E48*D48</f>
        <v>3084.1993478307</v>
      </c>
    </row>
    <row r="49" spans="2:6">
      <c r="C49" t="s">
        <v>77</v>
      </c>
      <c r="D49" s="189">
        <v>293.147818188114</v>
      </c>
      <c r="E49" s="185">
        <v>680</v>
      </c>
      <c r="F49" s="189">
        <f t="shared" si="6"/>
        <v>199340.516367918</v>
      </c>
    </row>
    <row r="50" spans="2:6">
      <c r="C50" t="s">
        <v>79</v>
      </c>
      <c r="D50" s="189">
        <v>272.5</v>
      </c>
      <c r="E50" s="185">
        <v>612</v>
      </c>
      <c r="F50" s="189">
        <f t="shared" si="6"/>
        <v>166770</v>
      </c>
    </row>
    <row r="51" spans="2:6">
      <c r="C51" s="191" t="s">
        <v>59</v>
      </c>
      <c r="D51" s="189">
        <v>3141</v>
      </c>
      <c r="E51" s="185"/>
      <c r="F51" s="189"/>
    </row>
    <row r="52" spans="2:6">
      <c r="C52" s="191" t="s">
        <v>43</v>
      </c>
      <c r="D52" s="189">
        <v>722</v>
      </c>
      <c r="E52" s="185"/>
      <c r="F52" s="189"/>
    </row>
    <row r="53" ht="13" spans="2:6">
      <c r="B53" s="186" t="s">
        <v>200</v>
      </c>
      <c r="C53" s="186"/>
      <c r="D53" s="190">
        <v>570.919953825432</v>
      </c>
      <c r="E53" s="190"/>
      <c r="F53" s="190">
        <f>+SUM(F48:F50)</f>
        <v>369194.715715748</v>
      </c>
    </row>
    <row r="54" ht="13" spans="2:6">
      <c r="B54" s="186" t="s">
        <v>201</v>
      </c>
      <c r="C54" s="186"/>
      <c r="D54" s="190">
        <v>695.849116349917</v>
      </c>
      <c r="E54" s="190"/>
      <c r="F54" s="190">
        <f>+F53+F47</f>
        <v>445115.495578293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6"/>
  <sheetViews>
    <sheetView showGridLines="0" zoomScale="140" zoomScaleNormal="140" workbookViewId="0">
      <selection activeCell="A2" sqref="A2:E2"/>
    </sheetView>
  </sheetViews>
  <sheetFormatPr defaultColWidth="11" defaultRowHeight="12.5" outlineLevelCol="5"/>
  <cols>
    <col min="1" max="1" width="75.2181818181818" style="2" customWidth="1"/>
    <col min="2" max="2" width="32.7818181818182" style="3" customWidth="1"/>
    <col min="3" max="3" width="10.7818181818182" style="3" customWidth="1"/>
    <col min="4" max="4" width="11.5545454545455" style="3" customWidth="1"/>
    <col min="5" max="5" width="19.2181818181818" style="3" customWidth="1"/>
  </cols>
  <sheetData>
    <row r="1" spans="1:5">
      <c r="A1" s="5" t="s">
        <v>204</v>
      </c>
      <c r="B1" s="5"/>
      <c r="C1" s="5"/>
      <c r="D1" s="5"/>
      <c r="E1" s="5"/>
    </row>
    <row r="2" spans="1:5">
      <c r="A2" s="5"/>
      <c r="B2" s="5"/>
      <c r="C2" s="5"/>
      <c r="D2" s="5"/>
      <c r="E2" s="5"/>
    </row>
    <row r="3" spans="1:5">
      <c r="A3" s="10"/>
      <c r="B3" s="6"/>
      <c r="C3" s="6"/>
      <c r="D3" s="6"/>
    </row>
    <row r="4" spans="1:5">
      <c r="B4" s="111"/>
      <c r="C4" s="5"/>
      <c r="D4" s="5"/>
      <c r="E4" s="112"/>
    </row>
    <row r="5" spans="1:5">
      <c r="A5" s="9" t="s">
        <v>205</v>
      </c>
      <c r="C5" s="5"/>
      <c r="D5" s="5"/>
      <c r="E5" s="112"/>
    </row>
    <row r="6" spans="1:5">
      <c r="A6" s="9" t="s">
        <v>206</v>
      </c>
      <c r="C6" s="5"/>
      <c r="D6" s="5"/>
      <c r="E6" s="112"/>
    </row>
    <row r="7" spans="1:5">
      <c r="A7" s="9" t="s">
        <v>207</v>
      </c>
      <c r="C7" s="5"/>
      <c r="D7" s="5"/>
      <c r="E7" s="112"/>
    </row>
    <row r="8" spans="1:5">
      <c r="A8" s="9" t="s">
        <v>208</v>
      </c>
      <c r="C8" s="5"/>
      <c r="D8" s="5"/>
      <c r="E8" s="112"/>
    </row>
    <row r="9" spans="1:5">
      <c r="B9" s="111"/>
      <c r="C9" s="5"/>
      <c r="D9" s="5"/>
      <c r="E9" s="112"/>
    </row>
    <row r="10" ht="13.25" spans="1:5">
      <c r="B10" s="111"/>
      <c r="C10" s="5"/>
      <c r="D10" s="5"/>
      <c r="E10" s="112"/>
    </row>
    <row r="11" ht="14" spans="1:5">
      <c r="A11" s="11" t="s">
        <v>209</v>
      </c>
      <c r="B11" s="12" t="s">
        <v>210</v>
      </c>
      <c r="C11" s="12"/>
      <c r="D11" s="12"/>
      <c r="E11" s="12"/>
    </row>
    <row r="12" ht="13.25" spans="1:5">
      <c r="B12" s="2"/>
      <c r="C12" s="5"/>
      <c r="D12" s="5"/>
      <c r="E12" s="112"/>
    </row>
    <row r="13" spans="1:5">
      <c r="A13" s="70" t="s">
        <v>211</v>
      </c>
      <c r="B13" s="70"/>
      <c r="C13" s="6"/>
      <c r="D13" s="6"/>
    </row>
    <row r="14" spans="1:5">
      <c r="A14" s="88" t="s">
        <v>212</v>
      </c>
      <c r="B14" s="88"/>
      <c r="C14" s="88"/>
      <c r="D14" s="88"/>
      <c r="E14" s="88"/>
    </row>
    <row r="15" spans="1:5">
      <c r="A15" s="88" t="s">
        <v>213</v>
      </c>
      <c r="B15" s="88"/>
      <c r="C15" s="88"/>
      <c r="D15" s="88"/>
      <c r="E15" s="88"/>
    </row>
    <row r="16" spans="1:5">
      <c r="A16" s="88" t="s">
        <v>214</v>
      </c>
      <c r="B16" s="88"/>
      <c r="C16" s="88"/>
      <c r="D16" s="88"/>
      <c r="E16" s="88"/>
    </row>
    <row r="17" spans="1:5">
      <c r="A17" s="88" t="s">
        <v>215</v>
      </c>
      <c r="B17" s="88"/>
      <c r="C17" s="88"/>
      <c r="D17" s="88"/>
      <c r="E17" s="88"/>
    </row>
    <row r="18" spans="1:5">
      <c r="A18" s="19" t="s">
        <v>216</v>
      </c>
      <c r="B18" s="19"/>
      <c r="C18" s="19"/>
      <c r="D18" s="19"/>
      <c r="E18" s="19"/>
    </row>
    <row r="19" spans="1:5">
      <c r="A19" s="10" t="s">
        <v>217</v>
      </c>
      <c r="B19" s="6"/>
      <c r="C19" s="6"/>
      <c r="D19" s="6"/>
    </row>
    <row r="20" spans="1:5">
      <c r="A20" s="10" t="s">
        <v>218</v>
      </c>
      <c r="B20" s="6"/>
      <c r="C20" s="6"/>
      <c r="D20" s="6"/>
    </row>
    <row r="21" spans="1:5">
      <c r="A21" s="19" t="s">
        <v>219</v>
      </c>
      <c r="B21" s="6"/>
      <c r="C21" s="6"/>
      <c r="D21" s="6"/>
    </row>
    <row r="22" spans="1:5">
      <c r="A22" s="19" t="s">
        <v>220</v>
      </c>
      <c r="B22" s="6"/>
      <c r="C22" s="6"/>
      <c r="D22" s="6"/>
    </row>
    <row r="23" spans="1:5">
      <c r="A23" s="19" t="s">
        <v>221</v>
      </c>
      <c r="B23" s="6"/>
      <c r="C23" s="6"/>
      <c r="D23" s="6"/>
    </row>
    <row r="24" spans="1:5">
      <c r="A24" s="19" t="s">
        <v>222</v>
      </c>
      <c r="B24" s="6"/>
      <c r="C24" s="6"/>
      <c r="D24" s="6"/>
    </row>
    <row r="25" spans="1:5">
      <c r="A25" s="19" t="s">
        <v>223</v>
      </c>
      <c r="B25" s="6"/>
      <c r="C25" s="6"/>
      <c r="D25" s="6"/>
    </row>
    <row r="26" spans="1:5">
      <c r="A26" s="19" t="s">
        <v>224</v>
      </c>
      <c r="B26" s="6"/>
      <c r="C26" s="6"/>
      <c r="D26" s="6"/>
    </row>
    <row r="27" spans="1:5">
      <c r="A27" s="19" t="s">
        <v>225</v>
      </c>
      <c r="B27" s="6"/>
      <c r="C27" s="6"/>
      <c r="D27" s="6"/>
    </row>
    <row r="28" spans="1:5">
      <c r="A28" s="19" t="s">
        <v>226</v>
      </c>
      <c r="B28" s="6"/>
      <c r="C28" s="6"/>
      <c r="D28" s="6"/>
    </row>
    <row r="29" ht="13.25" spans="1:5">
      <c r="A29" s="19"/>
      <c r="B29" s="6"/>
      <c r="C29" s="6"/>
      <c r="D29" s="6"/>
    </row>
    <row r="30" ht="14" spans="1:5">
      <c r="A30" s="21" t="s">
        <v>227</v>
      </c>
      <c r="B30" s="21" t="s">
        <v>228</v>
      </c>
      <c r="C30" s="21"/>
      <c r="D30" s="21" t="s">
        <v>229</v>
      </c>
      <c r="E30" s="21"/>
    </row>
    <row r="31" ht="14" spans="1:5">
      <c r="A31" s="21" t="s">
        <v>230</v>
      </c>
      <c r="B31" s="21" t="s">
        <v>231</v>
      </c>
      <c r="C31" s="21" t="s">
        <v>232</v>
      </c>
      <c r="D31" s="21" t="s">
        <v>230</v>
      </c>
      <c r="E31" s="21" t="s">
        <v>233</v>
      </c>
    </row>
    <row r="32" ht="14" spans="1:5">
      <c r="A32" s="21" t="s">
        <v>234</v>
      </c>
      <c r="B32" s="21" t="s">
        <v>235</v>
      </c>
      <c r="C32" s="21" t="s">
        <v>235</v>
      </c>
      <c r="D32" s="21">
        <v>950</v>
      </c>
      <c r="E32" s="21" t="s">
        <v>236</v>
      </c>
    </row>
    <row r="33" ht="14" spans="1:5">
      <c r="A33" s="21" t="s">
        <v>237</v>
      </c>
      <c r="B33" s="21" t="s">
        <v>235</v>
      </c>
      <c r="C33" s="21" t="s">
        <v>235</v>
      </c>
      <c r="D33" s="21">
        <v>950</v>
      </c>
      <c r="E33" s="21" t="s">
        <v>236</v>
      </c>
    </row>
    <row r="34" ht="14" spans="1:5">
      <c r="A34" s="21" t="s">
        <v>237</v>
      </c>
      <c r="B34" s="21" t="s">
        <v>235</v>
      </c>
      <c r="C34" s="21" t="s">
        <v>235</v>
      </c>
      <c r="D34" s="21">
        <v>1070</v>
      </c>
      <c r="E34" s="21" t="s">
        <v>236</v>
      </c>
    </row>
    <row r="35" ht="14" spans="1:5">
      <c r="A35" s="21" t="s">
        <v>237</v>
      </c>
      <c r="B35" s="21" t="s">
        <v>235</v>
      </c>
      <c r="C35" s="21" t="s">
        <v>235</v>
      </c>
      <c r="D35" s="21">
        <v>1219</v>
      </c>
      <c r="E35" s="21" t="s">
        <v>236</v>
      </c>
    </row>
    <row r="36" ht="14" spans="1:5">
      <c r="A36" s="21">
        <v>0.46</v>
      </c>
      <c r="B36" s="21" t="s">
        <v>235</v>
      </c>
      <c r="C36" s="21" t="s">
        <v>235</v>
      </c>
      <c r="D36" s="21">
        <v>1219</v>
      </c>
      <c r="E36" s="21" t="s">
        <v>236</v>
      </c>
    </row>
    <row r="37" ht="14" spans="1:5">
      <c r="A37" s="21">
        <v>0.46</v>
      </c>
      <c r="B37" s="21" t="s">
        <v>235</v>
      </c>
      <c r="C37" s="21" t="s">
        <v>235</v>
      </c>
      <c r="D37" s="21">
        <v>1070</v>
      </c>
      <c r="E37" s="21" t="s">
        <v>236</v>
      </c>
    </row>
    <row r="38" ht="14" spans="1:5">
      <c r="A38" s="21">
        <v>0.58</v>
      </c>
      <c r="B38" s="21" t="s">
        <v>235</v>
      </c>
      <c r="C38" s="21" t="s">
        <v>235</v>
      </c>
      <c r="D38" s="21">
        <v>1219</v>
      </c>
      <c r="E38" s="21" t="s">
        <v>236</v>
      </c>
    </row>
    <row r="39" ht="14" spans="1:5">
      <c r="A39" s="21">
        <v>0.78</v>
      </c>
      <c r="B39" s="21" t="s">
        <v>235</v>
      </c>
      <c r="C39" s="21" t="s">
        <v>235</v>
      </c>
      <c r="D39" s="21">
        <v>1219</v>
      </c>
      <c r="E39" s="21" t="s">
        <v>236</v>
      </c>
    </row>
    <row r="40" ht="13.25" spans="1:5">
      <c r="A40" s="10" t="s">
        <v>238</v>
      </c>
      <c r="B40" s="6"/>
      <c r="C40" s="6"/>
      <c r="D40" s="6"/>
      <c r="E40" s="6"/>
    </row>
    <row r="41" ht="13.25" spans="1:5">
      <c r="A41" s="10"/>
      <c r="B41" s="6"/>
      <c r="C41" s="6"/>
      <c r="D41" s="6"/>
    </row>
    <row r="42" ht="14" spans="1:5">
      <c r="A42" s="11" t="s">
        <v>239</v>
      </c>
      <c r="B42" s="12" t="s">
        <v>240</v>
      </c>
      <c r="C42" s="12"/>
      <c r="D42" s="12"/>
      <c r="E42" s="12"/>
    </row>
    <row r="43" ht="13.25" spans="1:5">
      <c r="B43" s="2"/>
      <c r="C43" s="5"/>
      <c r="D43" s="5"/>
      <c r="E43" s="112"/>
    </row>
    <row r="44" spans="1:5">
      <c r="A44" s="70" t="s">
        <v>211</v>
      </c>
      <c r="B44" s="70"/>
      <c r="C44" s="6"/>
      <c r="D44" s="6"/>
    </row>
    <row r="45" spans="1:5">
      <c r="A45" s="19" t="s">
        <v>241</v>
      </c>
      <c r="B45" s="19"/>
      <c r="C45" s="19"/>
      <c r="D45" s="19"/>
      <c r="E45" s="19"/>
    </row>
    <row r="46" spans="1:5">
      <c r="A46" s="19" t="s">
        <v>242</v>
      </c>
      <c r="B46" s="19"/>
      <c r="C46" s="19"/>
      <c r="D46" s="19"/>
      <c r="E46" s="19"/>
    </row>
    <row r="47" spans="1:5">
      <c r="A47" s="19" t="s">
        <v>243</v>
      </c>
      <c r="B47" s="19"/>
      <c r="C47" s="19"/>
      <c r="D47" s="19"/>
      <c r="E47" s="19"/>
    </row>
    <row r="48" spans="1:5">
      <c r="A48" s="19" t="s">
        <v>244</v>
      </c>
      <c r="B48" s="19"/>
      <c r="C48" s="19"/>
      <c r="D48" s="19"/>
      <c r="E48" s="19"/>
    </row>
    <row r="49" spans="1:5">
      <c r="A49" s="113" t="s">
        <v>245</v>
      </c>
      <c r="B49" s="113"/>
      <c r="C49" s="19"/>
      <c r="D49" s="19"/>
      <c r="E49" s="19"/>
    </row>
    <row r="50" spans="1:5">
      <c r="A50" s="114" t="s">
        <v>246</v>
      </c>
      <c r="B50" s="19"/>
      <c r="C50" s="19"/>
      <c r="D50" s="19"/>
      <c r="E50" s="19"/>
    </row>
    <row r="51" spans="1:5">
      <c r="A51" s="16" t="s">
        <v>247</v>
      </c>
      <c r="B51" s="16"/>
      <c r="C51" s="16"/>
      <c r="D51" s="16"/>
      <c r="E51" s="16"/>
    </row>
    <row r="52" spans="1:5">
      <c r="A52" s="16" t="s">
        <v>248</v>
      </c>
      <c r="B52" s="16"/>
      <c r="C52" s="16"/>
      <c r="D52" s="16"/>
      <c r="E52" s="16"/>
    </row>
    <row r="53" spans="1:5">
      <c r="A53" s="88" t="s">
        <v>249</v>
      </c>
      <c r="B53" s="88"/>
      <c r="C53" s="88"/>
      <c r="D53" s="88"/>
      <c r="E53" s="88"/>
    </row>
    <row r="54" spans="1:5">
      <c r="A54" s="19" t="s">
        <v>250</v>
      </c>
      <c r="B54" s="6"/>
      <c r="C54" s="6"/>
      <c r="D54" s="6"/>
    </row>
    <row r="55" ht="13.25" spans="1:5">
      <c r="A55" s="19"/>
      <c r="B55" s="6"/>
      <c r="C55" s="6"/>
      <c r="D55" s="6"/>
    </row>
    <row r="56" ht="14" spans="1:5">
      <c r="A56" s="21" t="s">
        <v>227</v>
      </c>
      <c r="B56" s="21" t="s">
        <v>228</v>
      </c>
      <c r="C56" s="21"/>
      <c r="D56" s="21" t="s">
        <v>229</v>
      </c>
      <c r="E56" s="21" t="s">
        <v>251</v>
      </c>
    </row>
    <row r="57" ht="14" spans="1:5">
      <c r="A57" s="21" t="s">
        <v>230</v>
      </c>
      <c r="B57" s="21" t="s">
        <v>231</v>
      </c>
      <c r="C57" s="21" t="s">
        <v>232</v>
      </c>
      <c r="D57" s="21" t="s">
        <v>230</v>
      </c>
      <c r="E57" s="21" t="s">
        <v>252</v>
      </c>
    </row>
    <row r="58" ht="14" spans="1:5">
      <c r="A58" s="21" t="s">
        <v>237</v>
      </c>
      <c r="B58" s="21" t="s">
        <v>253</v>
      </c>
      <c r="C58" s="21" t="s">
        <v>235</v>
      </c>
      <c r="D58" s="21">
        <v>1219</v>
      </c>
      <c r="E58" s="21" t="s">
        <v>254</v>
      </c>
    </row>
    <row r="59" ht="14" spans="1:5">
      <c r="A59" s="21" t="s">
        <v>237</v>
      </c>
      <c r="B59" s="21" t="s">
        <v>253</v>
      </c>
      <c r="C59" s="21" t="s">
        <v>235</v>
      </c>
      <c r="D59" s="21">
        <v>1219</v>
      </c>
      <c r="E59" s="21" t="s">
        <v>255</v>
      </c>
    </row>
    <row r="60" ht="14" spans="1:5">
      <c r="A60" s="21" t="s">
        <v>237</v>
      </c>
      <c r="B60" s="21" t="s">
        <v>253</v>
      </c>
      <c r="C60" s="21" t="s">
        <v>235</v>
      </c>
      <c r="D60" s="21">
        <v>1070</v>
      </c>
      <c r="E60" s="21">
        <v>9003</v>
      </c>
    </row>
    <row r="61" ht="14" spans="1:5">
      <c r="A61" s="21" t="s">
        <v>237</v>
      </c>
      <c r="B61" s="21" t="s">
        <v>253</v>
      </c>
      <c r="C61" s="21" t="s">
        <v>235</v>
      </c>
      <c r="D61" s="21">
        <v>1219</v>
      </c>
      <c r="E61" s="21">
        <v>9003</v>
      </c>
    </row>
    <row r="62" ht="14" spans="1:5">
      <c r="A62" s="21" t="s">
        <v>256</v>
      </c>
      <c r="B62" s="21" t="s">
        <v>253</v>
      </c>
      <c r="C62" s="21" t="s">
        <v>235</v>
      </c>
      <c r="D62" s="21">
        <v>1219</v>
      </c>
      <c r="E62" s="21">
        <v>7040</v>
      </c>
    </row>
    <row r="63" ht="14" spans="1:5">
      <c r="A63" s="21" t="s">
        <v>256</v>
      </c>
      <c r="B63" s="21" t="s">
        <v>253</v>
      </c>
      <c r="C63" s="21" t="s">
        <v>235</v>
      </c>
      <c r="D63" s="115">
        <v>1219</v>
      </c>
      <c r="E63" s="21">
        <v>9002</v>
      </c>
    </row>
    <row r="64" ht="14" spans="1:5">
      <c r="A64" s="21" t="s">
        <v>256</v>
      </c>
      <c r="B64" s="21" t="s">
        <v>253</v>
      </c>
      <c r="C64" s="21" t="s">
        <v>235</v>
      </c>
      <c r="D64" s="115">
        <v>1219</v>
      </c>
      <c r="E64" s="21">
        <v>5005</v>
      </c>
    </row>
    <row r="65" ht="14" spans="1:5">
      <c r="A65" s="21" t="s">
        <v>256</v>
      </c>
      <c r="B65" s="21" t="s">
        <v>253</v>
      </c>
      <c r="C65" s="21" t="s">
        <v>235</v>
      </c>
      <c r="D65" s="115">
        <v>1070</v>
      </c>
      <c r="E65" s="21">
        <v>9003</v>
      </c>
    </row>
    <row r="66" ht="14" spans="1:5">
      <c r="A66" s="21" t="s">
        <v>256</v>
      </c>
      <c r="B66" s="21" t="s">
        <v>253</v>
      </c>
      <c r="C66" s="21" t="s">
        <v>235</v>
      </c>
      <c r="D66" s="115">
        <v>1219</v>
      </c>
      <c r="E66" s="21">
        <v>9003</v>
      </c>
    </row>
    <row r="67" ht="14" spans="1:5">
      <c r="A67" s="21" t="s">
        <v>257</v>
      </c>
      <c r="B67" s="21" t="s">
        <v>253</v>
      </c>
      <c r="C67" s="21" t="s">
        <v>235</v>
      </c>
      <c r="D67" s="115">
        <v>1219</v>
      </c>
      <c r="E67" s="21">
        <v>9003</v>
      </c>
    </row>
    <row r="68" ht="14" spans="1:5">
      <c r="A68" s="21" t="s">
        <v>256</v>
      </c>
      <c r="B68" s="21" t="s">
        <v>253</v>
      </c>
      <c r="C68" s="21" t="s">
        <v>235</v>
      </c>
      <c r="D68" s="115">
        <v>1219</v>
      </c>
      <c r="E68" s="21">
        <v>7024</v>
      </c>
    </row>
    <row r="69" ht="14" spans="1:5">
      <c r="A69" s="21">
        <v>0.33</v>
      </c>
      <c r="B69" s="21" t="s">
        <v>253</v>
      </c>
      <c r="C69" s="21" t="s">
        <v>235</v>
      </c>
      <c r="D69" s="115">
        <v>950</v>
      </c>
      <c r="E69" s="21" t="s">
        <v>258</v>
      </c>
    </row>
    <row r="70" ht="14" spans="1:5">
      <c r="A70" s="21">
        <v>0.33</v>
      </c>
      <c r="B70" s="21" t="s">
        <v>253</v>
      </c>
      <c r="C70" s="21" t="s">
        <v>235</v>
      </c>
      <c r="D70" s="115">
        <v>950</v>
      </c>
      <c r="E70" s="21" t="s">
        <v>259</v>
      </c>
    </row>
    <row r="71" ht="14" spans="1:5">
      <c r="A71" s="21">
        <v>0.33</v>
      </c>
      <c r="B71" s="21" t="s">
        <v>253</v>
      </c>
      <c r="C71" s="21" t="s">
        <v>235</v>
      </c>
      <c r="D71" s="115">
        <v>950</v>
      </c>
      <c r="E71" s="21" t="s">
        <v>254</v>
      </c>
    </row>
    <row r="72" ht="13.25" spans="1:5">
      <c r="A72" s="10" t="s">
        <v>238</v>
      </c>
      <c r="B72" s="6"/>
      <c r="C72" s="6"/>
      <c r="D72" s="6"/>
      <c r="E72" s="6"/>
    </row>
    <row r="73" ht="13.25" spans="1:5">
      <c r="A73" s="10"/>
      <c r="B73" s="6"/>
      <c r="C73" s="6"/>
      <c r="D73" s="6"/>
    </row>
    <row r="74" ht="14" spans="1:5">
      <c r="A74" s="11" t="s">
        <v>260</v>
      </c>
      <c r="B74" s="12" t="s">
        <v>261</v>
      </c>
      <c r="C74" s="12"/>
      <c r="D74" s="12"/>
      <c r="E74" s="12"/>
    </row>
    <row r="75" ht="13.25" spans="1:5">
      <c r="B75" s="5"/>
      <c r="C75" s="5"/>
      <c r="D75" s="5"/>
      <c r="E75" s="112"/>
    </row>
    <row r="76" spans="1:5">
      <c r="A76" s="14" t="s">
        <v>211</v>
      </c>
      <c r="B76" s="6"/>
      <c r="C76" s="6"/>
      <c r="D76" s="6"/>
    </row>
    <row r="77" spans="1:5">
      <c r="A77" s="19" t="s">
        <v>262</v>
      </c>
      <c r="B77" s="19"/>
      <c r="C77" s="19"/>
      <c r="D77" s="19"/>
      <c r="E77" s="19"/>
    </row>
    <row r="78" spans="1:5">
      <c r="A78" s="19" t="s">
        <v>263</v>
      </c>
      <c r="B78" s="19"/>
      <c r="C78" s="19"/>
      <c r="D78" s="19"/>
      <c r="E78" s="19"/>
    </row>
    <row r="79" spans="1:5">
      <c r="A79" s="88" t="s">
        <v>264</v>
      </c>
      <c r="B79" s="88"/>
      <c r="C79" s="88"/>
      <c r="D79" s="88"/>
      <c r="E79" s="88"/>
    </row>
    <row r="80" spans="1:5">
      <c r="A80" s="88" t="s">
        <v>265</v>
      </c>
      <c r="B80" s="88"/>
      <c r="C80" s="88"/>
      <c r="D80" s="88"/>
      <c r="E80" s="88"/>
    </row>
    <row r="81" spans="1:5">
      <c r="A81" s="19" t="s">
        <v>266</v>
      </c>
      <c r="B81" s="19"/>
      <c r="C81" s="19"/>
      <c r="D81" s="19"/>
      <c r="E81" s="19"/>
    </row>
    <row r="82" spans="1:5">
      <c r="A82" s="19" t="s">
        <v>267</v>
      </c>
      <c r="B82" s="19"/>
      <c r="C82" s="19"/>
      <c r="D82" s="19"/>
      <c r="E82" s="19"/>
    </row>
    <row r="83" ht="13.25" spans="1:5">
      <c r="A83" s="19" t="s">
        <v>250</v>
      </c>
      <c r="B83" s="6"/>
      <c r="C83" s="6"/>
      <c r="D83" s="6"/>
    </row>
    <row r="84" ht="14" spans="1:5">
      <c r="A84" s="21" t="s">
        <v>227</v>
      </c>
      <c r="B84" s="21" t="s">
        <v>228</v>
      </c>
      <c r="C84" s="21"/>
      <c r="D84" s="21" t="s">
        <v>229</v>
      </c>
      <c r="E84" s="21"/>
    </row>
    <row r="85" ht="14" spans="1:5">
      <c r="A85" s="21" t="s">
        <v>230</v>
      </c>
      <c r="B85" s="21" t="s">
        <v>231</v>
      </c>
      <c r="C85" s="21" t="s">
        <v>232</v>
      </c>
      <c r="D85" s="21" t="s">
        <v>230</v>
      </c>
      <c r="E85" s="21" t="s">
        <v>233</v>
      </c>
    </row>
    <row r="86" ht="14" spans="1:5">
      <c r="A86" s="21" t="s">
        <v>237</v>
      </c>
      <c r="B86" s="21" t="s">
        <v>253</v>
      </c>
      <c r="C86" s="21" t="s">
        <v>235</v>
      </c>
      <c r="D86" s="21">
        <v>1219</v>
      </c>
      <c r="E86" s="21" t="s">
        <v>236</v>
      </c>
    </row>
    <row r="87" ht="14" spans="1:5">
      <c r="A87" s="21" t="s">
        <v>256</v>
      </c>
      <c r="B87" s="21" t="s">
        <v>253</v>
      </c>
      <c r="C87" s="21" t="s">
        <v>235</v>
      </c>
      <c r="D87" s="21">
        <v>1219</v>
      </c>
      <c r="E87" s="21" t="s">
        <v>236</v>
      </c>
    </row>
    <row r="88" ht="14" spans="1:5">
      <c r="A88" s="21" t="s">
        <v>257</v>
      </c>
      <c r="B88" s="21" t="s">
        <v>253</v>
      </c>
      <c r="C88" s="21" t="s">
        <v>235</v>
      </c>
      <c r="D88" s="21">
        <v>1219</v>
      </c>
      <c r="E88" s="21" t="s">
        <v>236</v>
      </c>
    </row>
    <row r="89" ht="13.25" spans="1:5">
      <c r="A89" s="10" t="s">
        <v>238</v>
      </c>
      <c r="B89" s="6"/>
      <c r="C89" s="6"/>
      <c r="D89" s="6"/>
      <c r="E89" s="6"/>
    </row>
    <row r="90" ht="13.25" spans="1:5">
      <c r="A90" s="10"/>
      <c r="B90" s="6"/>
      <c r="C90" s="6"/>
      <c r="D90" s="6"/>
    </row>
    <row r="91" ht="14" spans="1:5">
      <c r="A91" s="11" t="s">
        <v>268</v>
      </c>
      <c r="B91" s="12" t="s">
        <v>269</v>
      </c>
      <c r="C91" s="12"/>
      <c r="D91" s="12"/>
      <c r="E91" s="12"/>
    </row>
    <row r="92" ht="13.25" spans="1:5">
      <c r="B92" s="2"/>
      <c r="C92" s="5"/>
      <c r="D92" s="6"/>
    </row>
    <row r="93" spans="1:5">
      <c r="A93" s="70" t="s">
        <v>211</v>
      </c>
      <c r="B93" s="70"/>
      <c r="C93" s="6"/>
      <c r="D93" s="6"/>
    </row>
    <row r="94" spans="1:5">
      <c r="A94" s="19" t="s">
        <v>270</v>
      </c>
      <c r="B94" s="19"/>
      <c r="C94" s="19"/>
      <c r="D94" s="19"/>
      <c r="E94" s="19"/>
    </row>
    <row r="95" spans="1:5">
      <c r="A95" s="19" t="s">
        <v>271</v>
      </c>
      <c r="B95" s="19"/>
      <c r="C95" s="19"/>
      <c r="D95" s="19"/>
      <c r="E95" s="19"/>
    </row>
    <row r="96" spans="1:5">
      <c r="A96" s="88" t="s">
        <v>272</v>
      </c>
      <c r="B96" s="88"/>
      <c r="C96" s="88"/>
      <c r="D96" s="88"/>
      <c r="E96" s="88"/>
    </row>
    <row r="97" spans="1:5">
      <c r="A97" s="88" t="s">
        <v>265</v>
      </c>
      <c r="B97" s="88"/>
      <c r="C97" s="88"/>
      <c r="D97" s="88"/>
      <c r="E97" s="88"/>
    </row>
    <row r="98" spans="1:5">
      <c r="A98" s="19" t="s">
        <v>273</v>
      </c>
      <c r="B98" s="19"/>
      <c r="C98" s="19"/>
      <c r="D98" s="19"/>
      <c r="E98" s="19"/>
    </row>
    <row r="99" spans="1:5">
      <c r="A99" s="19" t="s">
        <v>274</v>
      </c>
      <c r="B99" s="19"/>
      <c r="C99" s="19"/>
      <c r="D99" s="19"/>
      <c r="E99" s="19"/>
    </row>
    <row r="100" ht="13.25" spans="1:5">
      <c r="A100" s="19" t="s">
        <v>250</v>
      </c>
      <c r="B100" s="6"/>
      <c r="C100" s="6"/>
      <c r="D100" s="6"/>
    </row>
    <row r="101" ht="14" spans="1:5">
      <c r="A101" s="21" t="s">
        <v>227</v>
      </c>
      <c r="B101" s="21" t="s">
        <v>228</v>
      </c>
      <c r="C101" s="21"/>
      <c r="D101" s="21" t="s">
        <v>229</v>
      </c>
      <c r="E101" s="21"/>
    </row>
    <row r="102" ht="14" spans="1:5">
      <c r="A102" s="21" t="s">
        <v>230</v>
      </c>
      <c r="B102" s="21" t="s">
        <v>231</v>
      </c>
      <c r="C102" s="21" t="s">
        <v>232</v>
      </c>
      <c r="D102" s="21" t="s">
        <v>230</v>
      </c>
      <c r="E102" s="21" t="s">
        <v>233</v>
      </c>
    </row>
    <row r="103" ht="14" spans="1:5">
      <c r="A103" s="21">
        <v>0.8</v>
      </c>
      <c r="B103" s="21" t="s">
        <v>275</v>
      </c>
      <c r="C103" s="21" t="s">
        <v>235</v>
      </c>
      <c r="D103" s="21">
        <v>1219</v>
      </c>
      <c r="E103" s="21" t="s">
        <v>236</v>
      </c>
    </row>
    <row r="104" ht="13.25" spans="1:5">
      <c r="A104" s="10" t="s">
        <v>238</v>
      </c>
      <c r="B104" s="6"/>
      <c r="C104" s="6"/>
      <c r="D104" s="6" t="s">
        <v>276</v>
      </c>
      <c r="E104" s="6"/>
    </row>
    <row r="105" spans="1:5">
      <c r="A105" s="10"/>
      <c r="B105" s="6"/>
      <c r="C105" s="6"/>
      <c r="D105" s="6"/>
    </row>
    <row r="106" ht="13.25" spans="1:5">
      <c r="B106" s="5"/>
      <c r="C106" s="5"/>
      <c r="D106" s="6"/>
    </row>
    <row r="107" ht="14" spans="1:5">
      <c r="A107" s="11" t="s">
        <v>277</v>
      </c>
      <c r="B107" s="12" t="s">
        <v>278</v>
      </c>
      <c r="C107" s="12"/>
      <c r="D107" s="12"/>
      <c r="E107" s="12"/>
    </row>
    <row r="108" ht="13.25" spans="1:5">
      <c r="B108" s="2"/>
      <c r="C108" s="5"/>
      <c r="D108" s="6"/>
    </row>
    <row r="109" spans="1:5">
      <c r="A109" s="70" t="s">
        <v>211</v>
      </c>
      <c r="B109" s="70"/>
      <c r="C109" s="6"/>
      <c r="D109" s="6"/>
    </row>
    <row r="110" spans="1:5">
      <c r="A110" s="19" t="s">
        <v>279</v>
      </c>
      <c r="B110" s="19"/>
      <c r="C110" s="19"/>
      <c r="D110" s="19"/>
      <c r="E110" s="19"/>
    </row>
    <row r="111" spans="1:5">
      <c r="A111" s="116" t="s">
        <v>280</v>
      </c>
      <c r="B111" s="19"/>
      <c r="C111" s="19"/>
      <c r="D111" s="19"/>
      <c r="E111" s="19" t="s">
        <v>281</v>
      </c>
    </row>
    <row r="112" spans="1:5">
      <c r="A112" s="19" t="s">
        <v>282</v>
      </c>
      <c r="B112" s="19"/>
      <c r="C112" s="19"/>
      <c r="D112" s="19"/>
      <c r="E112" s="19"/>
    </row>
    <row r="113" spans="1:5">
      <c r="A113" s="19" t="s">
        <v>265</v>
      </c>
      <c r="B113" s="19"/>
      <c r="C113" s="19"/>
      <c r="D113" s="19"/>
      <c r="E113" s="19"/>
    </row>
    <row r="114" spans="1:5">
      <c r="A114" s="19" t="s">
        <v>266</v>
      </c>
      <c r="B114" s="19"/>
      <c r="C114" s="19"/>
      <c r="D114" s="19"/>
      <c r="E114" s="19"/>
    </row>
    <row r="115" spans="1:5">
      <c r="A115" s="19" t="s">
        <v>267</v>
      </c>
      <c r="B115" s="19"/>
      <c r="C115" s="19"/>
      <c r="D115" s="19"/>
      <c r="E115" s="19"/>
    </row>
    <row r="116" ht="13.25" spans="1:5">
      <c r="A116" s="19" t="s">
        <v>250</v>
      </c>
      <c r="B116" s="6"/>
      <c r="C116" s="6"/>
      <c r="D116" s="6"/>
    </row>
    <row r="117" ht="14" spans="1:5">
      <c r="A117" s="21" t="s">
        <v>227</v>
      </c>
      <c r="B117" s="21" t="s">
        <v>228</v>
      </c>
      <c r="C117" s="21"/>
      <c r="D117" s="21" t="s">
        <v>229</v>
      </c>
      <c r="E117" s="21"/>
    </row>
    <row r="118" ht="14" spans="1:5">
      <c r="A118" s="21" t="s">
        <v>230</v>
      </c>
      <c r="B118" s="21" t="s">
        <v>231</v>
      </c>
      <c r="C118" s="21" t="s">
        <v>232</v>
      </c>
      <c r="D118" s="21" t="s">
        <v>230</v>
      </c>
      <c r="E118" s="21" t="s">
        <v>283</v>
      </c>
    </row>
    <row r="119" ht="14" spans="1:5">
      <c r="A119" s="65">
        <v>0.38</v>
      </c>
      <c r="B119" s="21" t="s">
        <v>284</v>
      </c>
      <c r="C119" s="21" t="s">
        <v>235</v>
      </c>
      <c r="D119" s="21">
        <v>1220</v>
      </c>
      <c r="E119" s="21" t="s">
        <v>285</v>
      </c>
    </row>
    <row r="120" ht="14" spans="1:5">
      <c r="A120" s="65">
        <v>0.45</v>
      </c>
      <c r="B120" s="21" t="s">
        <v>284</v>
      </c>
      <c r="C120" s="21" t="s">
        <v>235</v>
      </c>
      <c r="D120" s="21">
        <v>1220</v>
      </c>
      <c r="E120" s="21" t="s">
        <v>285</v>
      </c>
    </row>
    <row r="121" ht="14" spans="1:5">
      <c r="A121" s="65">
        <v>0.81</v>
      </c>
      <c r="B121" s="21" t="s">
        <v>284</v>
      </c>
      <c r="C121" s="21" t="s">
        <v>235</v>
      </c>
      <c r="D121" s="21">
        <v>1220</v>
      </c>
      <c r="E121" s="21" t="s">
        <v>286</v>
      </c>
    </row>
    <row r="122" ht="14" spans="1:5">
      <c r="A122" s="65">
        <v>0.81</v>
      </c>
      <c r="B122" s="21" t="s">
        <v>284</v>
      </c>
      <c r="C122" s="21" t="s">
        <v>235</v>
      </c>
      <c r="D122" s="21">
        <v>1220</v>
      </c>
      <c r="E122" s="117" t="s">
        <v>287</v>
      </c>
    </row>
    <row r="123" ht="14" spans="1:5">
      <c r="A123" s="65">
        <v>0.95</v>
      </c>
      <c r="B123" s="21" t="s">
        <v>284</v>
      </c>
      <c r="C123" s="21" t="s">
        <v>235</v>
      </c>
      <c r="D123" s="21">
        <v>1220</v>
      </c>
      <c r="E123" s="21" t="s">
        <v>287</v>
      </c>
    </row>
    <row r="124" ht="14" spans="1:5">
      <c r="A124" s="65">
        <v>1.5</v>
      </c>
      <c r="B124" s="21" t="s">
        <v>284</v>
      </c>
      <c r="C124" s="21" t="s">
        <v>288</v>
      </c>
      <c r="D124" s="21">
        <v>1220</v>
      </c>
      <c r="E124" s="21" t="s">
        <v>287</v>
      </c>
    </row>
    <row r="125" ht="14" spans="1:5">
      <c r="A125" s="65">
        <v>1.82</v>
      </c>
      <c r="B125" s="21" t="s">
        <v>284</v>
      </c>
      <c r="C125" s="21" t="s">
        <v>288</v>
      </c>
      <c r="D125" s="21">
        <v>1220</v>
      </c>
      <c r="E125" s="21" t="s">
        <v>287</v>
      </c>
    </row>
    <row r="126" ht="14" spans="1:5">
      <c r="A126" s="65">
        <v>2.72</v>
      </c>
      <c r="B126" s="21" t="s">
        <v>284</v>
      </c>
      <c r="C126" s="21" t="s">
        <v>288</v>
      </c>
      <c r="D126" s="21">
        <v>1220</v>
      </c>
      <c r="E126" s="21" t="s">
        <v>287</v>
      </c>
    </row>
    <row r="127" ht="13.25" spans="1:5">
      <c r="A127" s="10" t="s">
        <v>238</v>
      </c>
      <c r="B127" s="6"/>
      <c r="C127" s="6"/>
      <c r="D127" s="6"/>
      <c r="E127" s="6"/>
    </row>
    <row r="128" ht="13.25" spans="1:5">
      <c r="A128" s="10"/>
      <c r="B128" s="6"/>
      <c r="C128" s="6"/>
      <c r="D128" s="6"/>
    </row>
    <row r="129" ht="14" spans="1:6">
      <c r="A129" s="11" t="s">
        <v>289</v>
      </c>
      <c r="B129" s="12" t="s">
        <v>290</v>
      </c>
      <c r="C129" s="12"/>
      <c r="D129" s="12"/>
      <c r="E129" s="12"/>
    </row>
    <row r="130" ht="13.25" spans="1:6">
      <c r="B130" s="2"/>
      <c r="C130" s="28"/>
      <c r="D130" s="28"/>
      <c r="E130" s="2"/>
    </row>
    <row r="131" spans="1:6">
      <c r="A131" s="70" t="s">
        <v>211</v>
      </c>
      <c r="B131" s="70"/>
      <c r="C131" s="28"/>
      <c r="D131" s="28"/>
      <c r="E131" s="2"/>
    </row>
    <row r="132" spans="1:6">
      <c r="A132" s="29" t="s">
        <v>291</v>
      </c>
      <c r="B132" s="29"/>
      <c r="C132" s="29"/>
      <c r="D132" s="29"/>
      <c r="E132" s="29"/>
    </row>
    <row r="133" spans="1:6">
      <c r="A133" s="31" t="s">
        <v>292</v>
      </c>
      <c r="B133" s="31"/>
      <c r="C133" s="31"/>
      <c r="D133" s="31"/>
      <c r="E133" s="31"/>
    </row>
    <row r="134" ht="46.05" customHeight="1" spans="1:6">
      <c r="A134" s="118" t="s">
        <v>293</v>
      </c>
      <c r="B134" s="118"/>
      <c r="C134" s="118"/>
      <c r="D134" s="29"/>
      <c r="E134" s="29"/>
    </row>
    <row r="135" spans="1:6">
      <c r="A135" s="29" t="s">
        <v>294</v>
      </c>
      <c r="B135" s="29"/>
      <c r="C135" s="29"/>
      <c r="D135" s="29"/>
      <c r="E135" s="29"/>
    </row>
    <row r="136" spans="1:6">
      <c r="A136" s="29" t="s">
        <v>295</v>
      </c>
      <c r="B136" s="29"/>
      <c r="C136" s="29"/>
      <c r="D136" s="29"/>
      <c r="E136" s="29"/>
    </row>
    <row r="137" spans="1:6">
      <c r="A137" s="29" t="s">
        <v>296</v>
      </c>
      <c r="B137" s="119"/>
      <c r="C137" s="28"/>
      <c r="D137" s="28"/>
      <c r="E137" s="2"/>
    </row>
    <row r="138" spans="1:6">
      <c r="A138" s="29" t="s">
        <v>297</v>
      </c>
      <c r="B138" s="119"/>
      <c r="C138" s="28"/>
      <c r="D138" s="28"/>
      <c r="E138" s="2"/>
    </row>
    <row r="139" ht="13.25" spans="1:6">
      <c r="A139" s="19" t="s">
        <v>250</v>
      </c>
      <c r="B139" s="119"/>
      <c r="C139" s="28"/>
      <c r="D139" s="28"/>
      <c r="E139" s="2"/>
    </row>
    <row r="140" ht="14" spans="1:6">
      <c r="A140" s="21" t="s">
        <v>227</v>
      </c>
      <c r="B140" s="22" t="s">
        <v>228</v>
      </c>
      <c r="C140" s="24"/>
      <c r="D140" s="21" t="s">
        <v>229</v>
      </c>
      <c r="E140" s="21"/>
    </row>
    <row r="141" ht="14" spans="1:6">
      <c r="A141" s="35" t="s">
        <v>230</v>
      </c>
      <c r="B141" s="120" t="s">
        <v>231</v>
      </c>
      <c r="C141" s="120" t="s">
        <v>232</v>
      </c>
      <c r="D141" s="21" t="s">
        <v>230</v>
      </c>
      <c r="E141" s="121"/>
      <c r="F141" s="122" t="s">
        <v>298</v>
      </c>
    </row>
    <row r="142" ht="14" spans="1:6">
      <c r="A142" s="37">
        <v>2.39</v>
      </c>
      <c r="B142" s="120">
        <v>0.04</v>
      </c>
      <c r="C142" s="21">
        <v>0</v>
      </c>
      <c r="D142" s="21">
        <v>1200</v>
      </c>
      <c r="E142" s="121"/>
      <c r="F142" s="123" t="s">
        <v>299</v>
      </c>
    </row>
    <row r="143" ht="14" spans="1:6">
      <c r="A143" s="37">
        <v>2.72</v>
      </c>
      <c r="B143" s="120">
        <v>0.04</v>
      </c>
      <c r="C143" s="21">
        <v>0</v>
      </c>
      <c r="D143" s="21">
        <v>1200</v>
      </c>
      <c r="E143" s="121"/>
      <c r="F143" s="123" t="s">
        <v>300</v>
      </c>
    </row>
    <row r="144" ht="14" spans="1:6">
      <c r="A144" s="37">
        <v>2.74</v>
      </c>
      <c r="B144" s="120">
        <v>0.04</v>
      </c>
      <c r="C144" s="21">
        <v>0</v>
      </c>
      <c r="D144" s="21">
        <v>1200</v>
      </c>
      <c r="E144" s="121"/>
      <c r="F144" s="123" t="s">
        <v>299</v>
      </c>
    </row>
    <row r="145" ht="14" spans="1:6">
      <c r="A145" s="37">
        <v>3.65</v>
      </c>
      <c r="B145" s="120">
        <v>0.04</v>
      </c>
      <c r="C145" s="21">
        <v>0</v>
      </c>
      <c r="D145" s="21">
        <v>1500</v>
      </c>
      <c r="E145" s="121"/>
      <c r="F145" s="123" t="s">
        <v>301</v>
      </c>
    </row>
    <row r="146" ht="14" spans="1:6">
      <c r="A146" s="37">
        <v>4.65</v>
      </c>
      <c r="B146" s="120">
        <v>0.04</v>
      </c>
      <c r="C146" s="21">
        <v>0</v>
      </c>
      <c r="D146" s="21">
        <v>1500</v>
      </c>
      <c r="E146" s="121"/>
      <c r="F146" s="123" t="s">
        <v>301</v>
      </c>
    </row>
    <row r="147" ht="14" spans="1:6">
      <c r="A147" s="37">
        <v>5.65</v>
      </c>
      <c r="B147" s="120">
        <v>0.04</v>
      </c>
      <c r="C147" s="21">
        <v>0</v>
      </c>
      <c r="D147" s="21">
        <v>1500</v>
      </c>
      <c r="E147" s="121"/>
      <c r="F147" s="123" t="s">
        <v>301</v>
      </c>
    </row>
    <row r="148" ht="14" spans="1:6">
      <c r="A148" s="124">
        <v>1.82</v>
      </c>
      <c r="B148" s="120">
        <v>0.04</v>
      </c>
      <c r="C148" s="21">
        <v>0</v>
      </c>
      <c r="D148" s="120">
        <v>1200</v>
      </c>
      <c r="E148" s="125"/>
      <c r="F148" s="123" t="s">
        <v>302</v>
      </c>
    </row>
    <row r="149" ht="13.25" spans="1:6">
      <c r="A149" s="29" t="s">
        <v>238</v>
      </c>
      <c r="B149" s="126">
        <f>+A148-B148</f>
        <v>1.78</v>
      </c>
      <c r="C149" s="28"/>
      <c r="E149" s="127"/>
    </row>
    <row r="150" ht="13.25" spans="1:6">
      <c r="A150" s="29"/>
      <c r="B150" s="28"/>
      <c r="C150" s="28"/>
      <c r="D150" s="28"/>
    </row>
    <row r="151" ht="14" spans="1:6">
      <c r="A151" s="11" t="s">
        <v>303</v>
      </c>
      <c r="B151" s="12" t="s">
        <v>290</v>
      </c>
      <c r="C151" s="12"/>
      <c r="D151" s="12"/>
      <c r="E151" s="128"/>
    </row>
    <row r="152" ht="13.25" spans="1:6">
      <c r="B152" s="2"/>
      <c r="C152" s="28"/>
      <c r="D152" s="28"/>
      <c r="E152" s="2"/>
    </row>
    <row r="153" spans="1:6">
      <c r="A153" s="70" t="s">
        <v>211</v>
      </c>
      <c r="B153" s="70"/>
      <c r="C153" s="28"/>
      <c r="D153" s="28"/>
      <c r="E153" s="2"/>
    </row>
    <row r="154" spans="1:6">
      <c r="A154" s="29" t="s">
        <v>291</v>
      </c>
      <c r="B154" s="29"/>
      <c r="C154" s="29"/>
      <c r="D154" s="29"/>
      <c r="E154" s="29"/>
    </row>
    <row r="155" spans="1:6">
      <c r="A155" s="31" t="s">
        <v>304</v>
      </c>
      <c r="B155" s="31"/>
      <c r="C155" s="31"/>
      <c r="D155" s="31"/>
      <c r="E155" s="31"/>
    </row>
    <row r="156" spans="1:6">
      <c r="A156" s="29" t="s">
        <v>294</v>
      </c>
      <c r="B156" s="29"/>
      <c r="C156" s="29"/>
      <c r="D156" s="29"/>
      <c r="E156" s="29"/>
    </row>
    <row r="157" spans="1:6">
      <c r="A157" s="29" t="s">
        <v>295</v>
      </c>
      <c r="B157" s="29"/>
      <c r="C157" s="29"/>
      <c r="D157" s="29"/>
      <c r="E157" s="29"/>
    </row>
    <row r="158" spans="1:6">
      <c r="A158" s="29" t="s">
        <v>296</v>
      </c>
      <c r="B158" s="28"/>
      <c r="C158" s="28"/>
      <c r="D158" s="28"/>
      <c r="E158" s="2"/>
    </row>
    <row r="159" spans="1:6">
      <c r="A159" s="29" t="s">
        <v>297</v>
      </c>
      <c r="B159" s="28"/>
      <c r="C159" s="28"/>
      <c r="D159" s="28"/>
      <c r="E159" s="2"/>
    </row>
    <row r="160" ht="13.25" spans="1:6">
      <c r="A160" s="19" t="s">
        <v>250</v>
      </c>
      <c r="B160" s="28"/>
      <c r="C160" s="28"/>
      <c r="D160" s="28"/>
      <c r="E160" s="2"/>
    </row>
    <row r="161" ht="14" spans="1:6">
      <c r="A161" s="21" t="s">
        <v>227</v>
      </c>
      <c r="B161" s="22" t="s">
        <v>228</v>
      </c>
      <c r="C161" s="24"/>
      <c r="D161" s="21" t="s">
        <v>229</v>
      </c>
      <c r="E161" s="21" t="s">
        <v>194</v>
      </c>
    </row>
    <row r="162" ht="14" spans="1:6">
      <c r="A162" s="35" t="s">
        <v>230</v>
      </c>
      <c r="B162" s="120" t="s">
        <v>231</v>
      </c>
      <c r="C162" s="120" t="s">
        <v>232</v>
      </c>
      <c r="D162" s="35" t="s">
        <v>230</v>
      </c>
      <c r="E162" s="35"/>
      <c r="F162" s="122" t="s">
        <v>298</v>
      </c>
    </row>
    <row r="163" ht="14" spans="1:6">
      <c r="A163" s="37">
        <v>1.35</v>
      </c>
      <c r="B163" s="120">
        <v>0.04</v>
      </c>
      <c r="C163" s="21">
        <v>0</v>
      </c>
      <c r="D163" s="129">
        <v>1200</v>
      </c>
      <c r="E163" s="129">
        <v>691</v>
      </c>
      <c r="F163" s="123" t="s">
        <v>302</v>
      </c>
    </row>
    <row r="164" ht="14" spans="1:6">
      <c r="A164" s="37">
        <v>1.45</v>
      </c>
      <c r="B164" s="120">
        <v>0.04</v>
      </c>
      <c r="C164" s="21">
        <v>0</v>
      </c>
      <c r="D164" s="129">
        <v>1200</v>
      </c>
      <c r="E164" s="129">
        <v>115</v>
      </c>
      <c r="F164" s="123" t="s">
        <v>302</v>
      </c>
    </row>
    <row r="165" ht="13.25" spans="1:6">
      <c r="A165" s="29"/>
      <c r="B165" s="28"/>
      <c r="C165" s="28"/>
      <c r="D165" s="28"/>
    </row>
    <row r="166" spans="1:6">
      <c r="A166" s="29"/>
      <c r="B166" s="28"/>
      <c r="C166" s="28"/>
      <c r="D166" s="28"/>
    </row>
    <row r="167" spans="1:6">
      <c r="A167" s="29"/>
      <c r="B167" s="28"/>
      <c r="C167" s="28"/>
      <c r="D167" s="28"/>
    </row>
    <row r="168" ht="13.25" spans="1:6">
      <c r="A168" s="29"/>
      <c r="B168" s="28"/>
      <c r="C168" s="28"/>
      <c r="D168" s="28"/>
    </row>
    <row r="169" ht="14" spans="1:6">
      <c r="A169" s="11" t="s">
        <v>305</v>
      </c>
      <c r="B169" s="12" t="s">
        <v>306</v>
      </c>
      <c r="C169" s="12"/>
      <c r="D169" s="12"/>
      <c r="E169" s="12"/>
    </row>
    <row r="170" ht="13.25" spans="1:6">
      <c r="A170" s="130"/>
      <c r="B170" s="130"/>
      <c r="C170" s="130"/>
      <c r="D170" s="6"/>
    </row>
    <row r="171" spans="1:6">
      <c r="A171" s="70" t="s">
        <v>211</v>
      </c>
      <c r="B171" s="70"/>
      <c r="C171" s="131"/>
      <c r="D171" s="6"/>
    </row>
    <row r="172" spans="1:6">
      <c r="A172" s="29" t="s">
        <v>307</v>
      </c>
      <c r="B172" s="58"/>
      <c r="C172" s="58"/>
      <c r="D172" s="58"/>
      <c r="E172" s="58"/>
    </row>
    <row r="173" spans="1:6">
      <c r="A173" s="29" t="s">
        <v>308</v>
      </c>
      <c r="B173" s="58"/>
      <c r="C173" s="58"/>
      <c r="D173" s="58"/>
      <c r="E173" s="58"/>
    </row>
    <row r="174" spans="1:6">
      <c r="A174" s="29" t="s">
        <v>309</v>
      </c>
      <c r="B174" s="58"/>
      <c r="C174" s="58"/>
      <c r="D174" s="58"/>
      <c r="E174" s="58"/>
    </row>
    <row r="175" spans="1:6">
      <c r="A175" s="29" t="s">
        <v>310</v>
      </c>
      <c r="B175" s="71"/>
      <c r="C175" s="71"/>
      <c r="D175" s="71"/>
      <c r="E175" s="71"/>
    </row>
    <row r="176" spans="1:6">
      <c r="A176" s="29" t="s">
        <v>311</v>
      </c>
      <c r="B176" s="71"/>
      <c r="C176" s="71"/>
      <c r="D176" s="71"/>
      <c r="E176" s="71"/>
    </row>
    <row r="177" spans="1:5">
      <c r="A177" s="29" t="s">
        <v>266</v>
      </c>
      <c r="B177" s="58"/>
      <c r="C177" s="58"/>
      <c r="D177" s="58"/>
      <c r="E177" s="58"/>
    </row>
    <row r="178" spans="1:5">
      <c r="A178" s="29" t="s">
        <v>267</v>
      </c>
      <c r="B178" s="58"/>
      <c r="C178" s="58"/>
      <c r="D178" s="58"/>
      <c r="E178" s="58"/>
    </row>
    <row r="179" ht="13.25" spans="1:5">
      <c r="A179" s="19" t="s">
        <v>250</v>
      </c>
      <c r="B179" s="6"/>
      <c r="C179" s="6"/>
      <c r="D179" s="6"/>
    </row>
    <row r="180" ht="14" spans="1:5">
      <c r="A180" s="21" t="s">
        <v>227</v>
      </c>
      <c r="B180" s="21" t="s">
        <v>228</v>
      </c>
      <c r="C180" s="21"/>
      <c r="D180" s="21" t="s">
        <v>229</v>
      </c>
    </row>
    <row r="181" ht="14" spans="1:5">
      <c r="A181" s="21" t="s">
        <v>230</v>
      </c>
      <c r="B181" s="21" t="s">
        <v>231</v>
      </c>
      <c r="C181" s="21" t="s">
        <v>232</v>
      </c>
      <c r="D181" s="21" t="s">
        <v>230</v>
      </c>
    </row>
    <row r="182" ht="14" spans="1:5">
      <c r="A182" s="21">
        <v>0.33</v>
      </c>
      <c r="B182" s="21" t="s">
        <v>235</v>
      </c>
      <c r="C182" s="21" t="s">
        <v>235</v>
      </c>
      <c r="D182" s="21">
        <v>1000</v>
      </c>
    </row>
    <row r="183" ht="14" spans="1:5">
      <c r="A183" s="21">
        <v>0.38</v>
      </c>
      <c r="B183" s="21" t="s">
        <v>235</v>
      </c>
      <c r="C183" s="21" t="s">
        <v>235</v>
      </c>
      <c r="D183" s="21">
        <v>1000</v>
      </c>
    </row>
    <row r="184" ht="14" spans="1:5">
      <c r="A184" s="21">
        <v>0.47</v>
      </c>
      <c r="B184" s="21" t="s">
        <v>235</v>
      </c>
      <c r="C184" s="21" t="s">
        <v>235</v>
      </c>
      <c r="D184" s="21">
        <v>1000</v>
      </c>
    </row>
    <row r="185" ht="14" spans="1:5">
      <c r="A185" s="21">
        <v>0.57</v>
      </c>
      <c r="B185" s="21" t="s">
        <v>235</v>
      </c>
      <c r="C185" s="21" t="s">
        <v>235</v>
      </c>
      <c r="D185" s="21">
        <v>1000</v>
      </c>
    </row>
    <row r="186" ht="14" spans="1:5">
      <c r="A186" s="21">
        <v>0.75</v>
      </c>
      <c r="B186" s="21" t="s">
        <v>235</v>
      </c>
      <c r="C186" s="21" t="s">
        <v>235</v>
      </c>
      <c r="D186" s="21">
        <v>1000</v>
      </c>
    </row>
    <row r="187" ht="14" spans="1:5">
      <c r="A187" s="21">
        <v>0.95</v>
      </c>
      <c r="B187" s="21" t="s">
        <v>235</v>
      </c>
      <c r="C187" s="21" t="s">
        <v>235</v>
      </c>
      <c r="D187" s="21">
        <v>1000</v>
      </c>
    </row>
    <row r="188" ht="14" spans="1:5">
      <c r="A188" s="21">
        <v>1.15</v>
      </c>
      <c r="B188" s="21" t="s">
        <v>235</v>
      </c>
      <c r="C188" s="21" t="s">
        <v>235</v>
      </c>
      <c r="D188" s="21">
        <v>1000</v>
      </c>
    </row>
    <row r="189" ht="14" spans="1:5">
      <c r="A189" s="21">
        <v>1.45</v>
      </c>
      <c r="B189" s="21" t="s">
        <v>235</v>
      </c>
      <c r="C189" s="21" t="s">
        <v>235</v>
      </c>
      <c r="D189" s="21">
        <v>1000</v>
      </c>
    </row>
    <row r="190" ht="14" spans="1:5">
      <c r="A190" s="21">
        <v>1.9</v>
      </c>
      <c r="B190" s="21" t="s">
        <v>235</v>
      </c>
      <c r="C190" s="21" t="s">
        <v>235</v>
      </c>
      <c r="D190" s="21">
        <v>1000</v>
      </c>
    </row>
    <row r="191" ht="13.25" spans="1:5">
      <c r="A191" s="10" t="s">
        <v>238</v>
      </c>
      <c r="B191" s="6"/>
      <c r="C191" s="6"/>
      <c r="D191" s="6"/>
      <c r="E191" s="112"/>
    </row>
    <row r="192" ht="13.25" spans="1:5">
      <c r="A192" s="10"/>
      <c r="B192" s="6"/>
      <c r="C192" s="6"/>
      <c r="D192" s="6"/>
    </row>
    <row r="193" ht="14" spans="1:5">
      <c r="A193" s="11" t="s">
        <v>312</v>
      </c>
      <c r="B193" s="12" t="s">
        <v>313</v>
      </c>
      <c r="C193" s="12"/>
      <c r="D193" s="12"/>
      <c r="E193" s="12"/>
    </row>
    <row r="194" ht="13.25" spans="1:5">
      <c r="A194" s="132"/>
      <c r="B194" s="2"/>
      <c r="C194" s="133"/>
      <c r="D194" s="133"/>
      <c r="E194" s="133"/>
    </row>
    <row r="195" spans="1:5">
      <c r="A195" s="70" t="s">
        <v>211</v>
      </c>
      <c r="B195" s="70"/>
      <c r="C195" s="70"/>
      <c r="D195" s="70"/>
      <c r="E195" s="70"/>
    </row>
    <row r="196" spans="1:5">
      <c r="A196" s="29"/>
      <c r="B196" s="58"/>
      <c r="C196" s="29"/>
      <c r="D196" s="58"/>
      <c r="E196" s="29"/>
    </row>
    <row r="197" spans="1:5">
      <c r="A197" s="29" t="s">
        <v>314</v>
      </c>
      <c r="B197" s="58"/>
      <c r="C197" s="29"/>
      <c r="D197" s="58"/>
      <c r="E197" s="29"/>
    </row>
    <row r="198" spans="1:5">
      <c r="A198" s="29" t="s">
        <v>315</v>
      </c>
      <c r="B198" s="58"/>
      <c r="C198" s="29"/>
      <c r="D198" s="58"/>
      <c r="E198" s="29"/>
    </row>
    <row r="199" spans="1:5">
      <c r="A199" s="29" t="s">
        <v>316</v>
      </c>
      <c r="B199" s="71"/>
      <c r="C199" s="29"/>
      <c r="D199" s="71"/>
      <c r="E199" s="29"/>
    </row>
    <row r="200" spans="1:5">
      <c r="A200" s="29" t="s">
        <v>310</v>
      </c>
      <c r="B200" s="71"/>
      <c r="C200" s="29"/>
      <c r="D200" s="71"/>
      <c r="E200" s="29"/>
    </row>
    <row r="201" spans="1:5">
      <c r="A201" s="29" t="s">
        <v>311</v>
      </c>
      <c r="C201" s="29"/>
      <c r="D201" s="58"/>
      <c r="E201" s="29"/>
    </row>
    <row r="202" spans="1:5">
      <c r="A202" s="16" t="s">
        <v>273</v>
      </c>
      <c r="B202" s="16"/>
      <c r="C202" s="6"/>
      <c r="D202" s="16"/>
      <c r="E202" s="16"/>
    </row>
    <row r="203" spans="1:5">
      <c r="A203" s="16" t="s">
        <v>274</v>
      </c>
      <c r="B203" s="16"/>
      <c r="C203" s="6"/>
      <c r="D203" s="16"/>
      <c r="E203" s="16"/>
    </row>
    <row r="204" ht="13.25" spans="1:5">
      <c r="A204" s="19" t="s">
        <v>250</v>
      </c>
      <c r="B204" s="6"/>
      <c r="C204" s="6"/>
      <c r="D204" s="6"/>
    </row>
    <row r="205" ht="14" spans="1:5">
      <c r="A205" s="21" t="s">
        <v>317</v>
      </c>
      <c r="B205" s="21" t="s">
        <v>228</v>
      </c>
      <c r="C205" s="21"/>
      <c r="D205" s="21" t="s">
        <v>229</v>
      </c>
    </row>
    <row r="206" ht="14" spans="1:5">
      <c r="A206" s="21" t="s">
        <v>230</v>
      </c>
      <c r="B206" s="21" t="s">
        <v>231</v>
      </c>
      <c r="C206" s="21" t="s">
        <v>232</v>
      </c>
      <c r="D206" s="21" t="s">
        <v>230</v>
      </c>
    </row>
    <row r="207" ht="14" spans="1:5">
      <c r="A207" s="21">
        <v>0.33</v>
      </c>
      <c r="B207" s="21" t="s">
        <v>235</v>
      </c>
      <c r="C207" s="21" t="s">
        <v>235</v>
      </c>
      <c r="D207" s="21">
        <v>1000</v>
      </c>
    </row>
    <row r="208" ht="14" spans="1:5">
      <c r="A208" s="21">
        <v>0.38</v>
      </c>
      <c r="B208" s="21" t="s">
        <v>235</v>
      </c>
      <c r="C208" s="21" t="s">
        <v>235</v>
      </c>
      <c r="D208" s="21">
        <v>1000</v>
      </c>
    </row>
    <row r="209" ht="14" spans="1:5">
      <c r="A209" s="21">
        <v>0.48</v>
      </c>
      <c r="B209" s="21" t="s">
        <v>235</v>
      </c>
      <c r="C209" s="21" t="s">
        <v>235</v>
      </c>
      <c r="D209" s="21">
        <v>1000</v>
      </c>
    </row>
    <row r="210" ht="13.25" spans="1:5">
      <c r="A210" s="111" t="s">
        <v>238</v>
      </c>
      <c r="B210" s="6"/>
      <c r="C210" s="6"/>
      <c r="D210" s="6"/>
      <c r="E210" s="112"/>
    </row>
    <row r="211" spans="1:5">
      <c r="A211" s="1"/>
      <c r="B211" s="6"/>
      <c r="C211" s="6"/>
      <c r="D211" s="6"/>
    </row>
    <row r="212" spans="1:5">
      <c r="A212" s="134" t="s">
        <v>318</v>
      </c>
      <c r="B212" s="134"/>
      <c r="C212" s="134"/>
      <c r="D212" s="134"/>
      <c r="E212" s="134"/>
    </row>
    <row r="213" ht="13.25" spans="1:5">
      <c r="A213" s="134"/>
      <c r="B213" s="134"/>
      <c r="C213" s="134"/>
      <c r="D213" s="134"/>
      <c r="E213" s="134"/>
    </row>
    <row r="214" ht="14" spans="1:5">
      <c r="A214" s="11" t="s">
        <v>319</v>
      </c>
      <c r="B214" s="12" t="s">
        <v>290</v>
      </c>
      <c r="C214" s="12"/>
      <c r="D214" s="12"/>
      <c r="E214" s="12"/>
    </row>
    <row r="215" ht="13.25" spans="1:5">
      <c r="B215" s="135"/>
      <c r="C215" s="6"/>
      <c r="D215" s="6"/>
    </row>
    <row r="216" spans="1:5">
      <c r="A216" s="70" t="s">
        <v>211</v>
      </c>
      <c r="B216" s="6"/>
      <c r="C216" s="6"/>
      <c r="D216" s="6"/>
    </row>
    <row r="217" spans="1:5">
      <c r="A217" s="29" t="s">
        <v>291</v>
      </c>
      <c r="B217" s="29"/>
      <c r="C217" s="29"/>
      <c r="D217" s="29"/>
      <c r="E217" s="29"/>
    </row>
    <row r="218" spans="1:5">
      <c r="A218" s="136" t="s">
        <v>320</v>
      </c>
      <c r="B218" s="136"/>
      <c r="C218" s="136"/>
      <c r="D218" s="136"/>
      <c r="E218" s="136"/>
    </row>
    <row r="219" ht="43.95" customHeight="1" spans="1:5">
      <c r="A219" s="118" t="s">
        <v>321</v>
      </c>
      <c r="B219" s="118"/>
      <c r="C219" s="118"/>
      <c r="D219" s="29"/>
      <c r="E219" s="29"/>
    </row>
    <row r="220" spans="1:5">
      <c r="A220" s="19" t="s">
        <v>322</v>
      </c>
      <c r="B220" s="19"/>
      <c r="C220" s="19"/>
      <c r="D220" s="19"/>
      <c r="E220" s="19"/>
    </row>
    <row r="221" spans="1:5">
      <c r="A221" s="19" t="s">
        <v>323</v>
      </c>
      <c r="B221" s="19"/>
      <c r="C221" s="19"/>
      <c r="D221" s="19"/>
      <c r="E221" s="19"/>
    </row>
    <row r="222" spans="1:5">
      <c r="A222" s="19" t="s">
        <v>265</v>
      </c>
      <c r="B222" s="18"/>
      <c r="C222" s="18"/>
      <c r="D222" s="18"/>
      <c r="E222" s="18"/>
    </row>
    <row r="223" ht="13.25" spans="1:5">
      <c r="A223" s="19" t="s">
        <v>250</v>
      </c>
      <c r="B223" s="18"/>
      <c r="C223" s="18"/>
      <c r="D223" s="18"/>
      <c r="E223" s="18"/>
    </row>
    <row r="224" ht="14" spans="1:5">
      <c r="A224" s="21" t="s">
        <v>227</v>
      </c>
      <c r="B224" s="22" t="s">
        <v>228</v>
      </c>
      <c r="C224" s="24"/>
      <c r="D224" s="21" t="s">
        <v>229</v>
      </c>
    </row>
    <row r="225" ht="14" spans="1:5">
      <c r="A225" s="21" t="s">
        <v>230</v>
      </c>
      <c r="B225" s="21" t="s">
        <v>231</v>
      </c>
      <c r="C225" s="21" t="s">
        <v>232</v>
      </c>
      <c r="D225" s="21" t="s">
        <v>230</v>
      </c>
    </row>
    <row r="226" ht="14" spans="1:5">
      <c r="A226" s="137">
        <v>1.85</v>
      </c>
      <c r="B226" s="21">
        <v>0.04</v>
      </c>
      <c r="C226" s="21">
        <v>0</v>
      </c>
      <c r="D226" s="138">
        <v>1000</v>
      </c>
    </row>
    <row r="227" ht="14" spans="1:5">
      <c r="A227" s="137">
        <v>2.35</v>
      </c>
      <c r="B227" s="21">
        <v>0.04</v>
      </c>
      <c r="C227" s="21">
        <v>0</v>
      </c>
      <c r="D227" s="138">
        <v>1000</v>
      </c>
    </row>
    <row r="228" ht="14" spans="1:5">
      <c r="A228" s="137">
        <v>2.85</v>
      </c>
      <c r="B228" s="21">
        <v>0.04</v>
      </c>
      <c r="C228" s="21">
        <v>0</v>
      </c>
      <c r="D228" s="138">
        <v>1000</v>
      </c>
    </row>
    <row r="229" ht="14" spans="1:5">
      <c r="A229" s="137">
        <v>3.85</v>
      </c>
      <c r="B229" s="21">
        <v>0.04</v>
      </c>
      <c r="C229" s="21">
        <v>0</v>
      </c>
      <c r="D229" s="138">
        <v>1000</v>
      </c>
    </row>
    <row r="230" ht="14" spans="1:5">
      <c r="A230" s="137">
        <v>4.85</v>
      </c>
      <c r="B230" s="21">
        <v>0.04</v>
      </c>
      <c r="C230" s="21">
        <v>0</v>
      </c>
      <c r="D230" s="138">
        <v>1000</v>
      </c>
    </row>
    <row r="231" ht="14" spans="1:5">
      <c r="A231" s="137">
        <v>5.85</v>
      </c>
      <c r="B231" s="21">
        <v>0.04</v>
      </c>
      <c r="C231" s="21">
        <v>0</v>
      </c>
      <c r="D231" s="138">
        <v>1000</v>
      </c>
    </row>
    <row r="232" ht="14" spans="1:5">
      <c r="A232" s="137">
        <v>7.85</v>
      </c>
      <c r="B232" s="21">
        <v>0.04</v>
      </c>
      <c r="C232" s="21">
        <v>0</v>
      </c>
      <c r="D232" s="138">
        <v>1000</v>
      </c>
    </row>
    <row r="233" ht="14" spans="1:5">
      <c r="A233" s="137">
        <v>9.85</v>
      </c>
      <c r="B233" s="21">
        <v>0.04</v>
      </c>
      <c r="C233" s="21">
        <v>0</v>
      </c>
      <c r="D233" s="138">
        <v>1000</v>
      </c>
    </row>
    <row r="234" ht="14" spans="1:5">
      <c r="A234" s="137">
        <v>11.85</v>
      </c>
      <c r="B234" s="21">
        <v>0.04</v>
      </c>
      <c r="C234" s="21">
        <v>0</v>
      </c>
      <c r="D234" s="138">
        <v>1000</v>
      </c>
    </row>
    <row r="235" ht="13.25" spans="1:5">
      <c r="A235" s="10" t="s">
        <v>238</v>
      </c>
      <c r="B235" s="6"/>
      <c r="C235" s="6"/>
      <c r="D235" s="6"/>
      <c r="E235" s="112"/>
    </row>
    <row r="236" ht="13.25" spans="1:5">
      <c r="A236" s="10"/>
      <c r="B236" s="6"/>
      <c r="C236" s="6"/>
      <c r="D236" s="6"/>
    </row>
    <row r="237" ht="14" spans="1:5">
      <c r="A237" s="11" t="s">
        <v>324</v>
      </c>
      <c r="B237" s="12" t="s">
        <v>325</v>
      </c>
      <c r="C237" s="12"/>
      <c r="D237" s="12"/>
      <c r="E237" s="12"/>
    </row>
    <row r="238" ht="13.25" spans="1:5">
      <c r="B238" s="2"/>
      <c r="C238" s="5"/>
      <c r="D238" s="5"/>
      <c r="E238" s="112"/>
    </row>
    <row r="239" spans="1:5">
      <c r="A239" s="70" t="s">
        <v>211</v>
      </c>
      <c r="B239" s="70"/>
      <c r="C239" s="6"/>
      <c r="D239" s="6"/>
    </row>
    <row r="240" spans="1:5">
      <c r="A240" s="16" t="s">
        <v>326</v>
      </c>
      <c r="B240" s="16"/>
      <c r="C240" s="16"/>
      <c r="D240" s="16"/>
      <c r="E240" s="16"/>
    </row>
    <row r="241" spans="1:5">
      <c r="A241" s="16" t="s">
        <v>327</v>
      </c>
      <c r="B241" s="16"/>
      <c r="C241" s="16"/>
      <c r="D241" s="16"/>
      <c r="E241" s="16"/>
    </row>
    <row r="242" spans="1:5">
      <c r="A242" s="19" t="s">
        <v>328</v>
      </c>
      <c r="B242" s="19"/>
      <c r="C242" s="19"/>
      <c r="D242" s="19"/>
      <c r="E242" s="19"/>
    </row>
    <row r="243" spans="1:5">
      <c r="A243" s="19" t="s">
        <v>329</v>
      </c>
      <c r="B243" s="19"/>
      <c r="C243" s="19"/>
      <c r="D243" s="19"/>
      <c r="E243" s="19"/>
    </row>
    <row r="244" spans="1:5">
      <c r="A244" s="19" t="s">
        <v>265</v>
      </c>
      <c r="B244" s="19"/>
      <c r="C244" s="19"/>
      <c r="D244" s="19"/>
      <c r="E244" s="19"/>
    </row>
    <row r="245" spans="1:5">
      <c r="A245" s="19" t="s">
        <v>323</v>
      </c>
      <c r="B245" s="19"/>
      <c r="C245" s="19"/>
      <c r="D245" s="19"/>
      <c r="E245" s="19"/>
    </row>
    <row r="246" ht="13.25" spans="1:5">
      <c r="A246" s="19" t="s">
        <v>250</v>
      </c>
      <c r="B246" s="6"/>
      <c r="C246" s="6"/>
      <c r="D246" s="6"/>
    </row>
    <row r="247" ht="14" spans="1:5">
      <c r="A247" s="21" t="s">
        <v>227</v>
      </c>
      <c r="B247" s="21" t="s">
        <v>330</v>
      </c>
      <c r="C247" s="21"/>
      <c r="D247" s="21"/>
    </row>
    <row r="248" ht="14" spans="1:5">
      <c r="A248" s="21" t="s">
        <v>230</v>
      </c>
      <c r="B248" s="21" t="s">
        <v>230</v>
      </c>
      <c r="C248" s="21"/>
      <c r="D248" s="21"/>
    </row>
    <row r="249" ht="14" spans="1:5">
      <c r="A249" s="21" t="s">
        <v>256</v>
      </c>
      <c r="B249" s="21">
        <v>1000</v>
      </c>
      <c r="C249" s="21"/>
      <c r="D249" s="21"/>
    </row>
    <row r="250" ht="14" spans="1:5">
      <c r="A250" s="21" t="s">
        <v>331</v>
      </c>
      <c r="B250" s="21">
        <v>1000</v>
      </c>
      <c r="C250" s="21"/>
      <c r="D250" s="21"/>
    </row>
    <row r="251" ht="14" spans="1:5">
      <c r="A251" s="21" t="s">
        <v>332</v>
      </c>
      <c r="B251" s="21">
        <v>1000</v>
      </c>
      <c r="C251" s="21"/>
      <c r="D251" s="21"/>
    </row>
    <row r="252" ht="14" spans="1:5">
      <c r="A252" s="21" t="s">
        <v>333</v>
      </c>
      <c r="B252" s="21">
        <v>1000</v>
      </c>
      <c r="C252" s="21"/>
      <c r="D252" s="21"/>
    </row>
    <row r="253" ht="14" spans="1:5">
      <c r="A253" s="21" t="s">
        <v>334</v>
      </c>
      <c r="B253" s="21">
        <v>1000</v>
      </c>
      <c r="C253" s="21"/>
      <c r="D253" s="21"/>
    </row>
    <row r="254" ht="14" spans="1:5">
      <c r="A254" s="21" t="s">
        <v>335</v>
      </c>
      <c r="B254" s="21">
        <v>1000</v>
      </c>
      <c r="C254" s="21"/>
      <c r="D254" s="21"/>
    </row>
    <row r="255" ht="14" spans="1:5">
      <c r="A255" s="21" t="s">
        <v>336</v>
      </c>
      <c r="B255" s="21">
        <v>1000</v>
      </c>
      <c r="C255" s="21"/>
      <c r="D255" s="21"/>
    </row>
    <row r="256" ht="13.25" spans="1:5">
      <c r="A256" s="10" t="s">
        <v>238</v>
      </c>
      <c r="B256" s="6"/>
      <c r="C256" s="6"/>
      <c r="D256" s="6"/>
      <c r="E256" s="112"/>
    </row>
    <row r="257" spans="1:5">
      <c r="A257" s="10"/>
      <c r="B257" s="6"/>
      <c r="C257" s="6"/>
      <c r="D257" s="6"/>
    </row>
    <row r="258" ht="13.25" spans="1:5">
      <c r="B258" s="5"/>
      <c r="C258" s="6"/>
      <c r="D258" s="6"/>
    </row>
    <row r="259" ht="14" spans="1:5">
      <c r="A259" s="11" t="s">
        <v>337</v>
      </c>
      <c r="B259" s="84" t="s">
        <v>338</v>
      </c>
      <c r="C259" s="12"/>
      <c r="D259" s="12"/>
      <c r="E259" s="12"/>
    </row>
    <row r="260" ht="13.25" spans="1:5">
      <c r="A260" s="111"/>
      <c r="B260" s="111"/>
      <c r="C260" s="10"/>
      <c r="D260" s="10"/>
      <c r="E260" s="2"/>
    </row>
    <row r="261" spans="1:5">
      <c r="A261" s="14" t="s">
        <v>211</v>
      </c>
      <c r="B261" s="5"/>
      <c r="C261" s="6"/>
      <c r="D261" s="6"/>
    </row>
    <row r="262" spans="1:5">
      <c r="A262" s="88" t="s">
        <v>339</v>
      </c>
      <c r="B262" s="88"/>
      <c r="C262" s="88"/>
      <c r="D262" s="88"/>
      <c r="E262" s="88"/>
    </row>
    <row r="263" spans="1:5">
      <c r="A263" s="19" t="s">
        <v>340</v>
      </c>
      <c r="B263" s="19"/>
      <c r="C263" s="19"/>
      <c r="D263" s="19"/>
      <c r="E263" s="19"/>
    </row>
    <row r="264" spans="1:5">
      <c r="A264" s="10" t="s">
        <v>341</v>
      </c>
      <c r="B264" s="6"/>
      <c r="C264" s="6"/>
      <c r="D264" s="6"/>
    </row>
    <row r="265" spans="1:5">
      <c r="A265" s="118" t="s">
        <v>293</v>
      </c>
      <c r="B265" s="118"/>
      <c r="C265" s="118"/>
      <c r="D265" s="29"/>
      <c r="E265" s="29"/>
    </row>
    <row r="266" ht="13.25" spans="1:5">
      <c r="A266" s="19" t="s">
        <v>250</v>
      </c>
      <c r="B266" s="6"/>
      <c r="C266" s="6"/>
    </row>
    <row r="267" ht="14" spans="1:5">
      <c r="A267" s="21" t="s">
        <v>227</v>
      </c>
      <c r="B267" s="21" t="s">
        <v>330</v>
      </c>
      <c r="C267" s="21"/>
    </row>
    <row r="268" ht="14" spans="1:5">
      <c r="A268" s="21" t="s">
        <v>230</v>
      </c>
      <c r="B268" s="21" t="s">
        <v>230</v>
      </c>
      <c r="C268" s="21"/>
    </row>
    <row r="269" ht="14" spans="1:5">
      <c r="A269" s="21" t="s">
        <v>342</v>
      </c>
      <c r="B269" s="21">
        <v>1000</v>
      </c>
      <c r="C269" s="21"/>
    </row>
    <row r="270" ht="14" spans="1:5">
      <c r="A270" s="21" t="s">
        <v>343</v>
      </c>
      <c r="B270" s="21">
        <v>1000</v>
      </c>
      <c r="C270" s="21"/>
    </row>
    <row r="271" ht="13.25" spans="1:5">
      <c r="A271" s="10" t="s">
        <v>238</v>
      </c>
      <c r="B271" s="10"/>
      <c r="C271" s="10"/>
      <c r="D271" s="112"/>
    </row>
    <row r="272" ht="13.25" spans="1:5">
      <c r="A272" s="10"/>
      <c r="B272" s="6"/>
      <c r="C272" s="6"/>
      <c r="E272" s="10"/>
    </row>
    <row r="273" ht="14" spans="1:5">
      <c r="A273" s="11" t="s">
        <v>344</v>
      </c>
      <c r="B273" s="84" t="s">
        <v>69</v>
      </c>
      <c r="C273" s="12"/>
      <c r="D273" s="12"/>
      <c r="E273" s="12"/>
    </row>
    <row r="274" ht="13.25" spans="1:5">
      <c r="A274" s="139"/>
      <c r="B274" s="2"/>
      <c r="C274" s="2"/>
      <c r="D274" s="2"/>
      <c r="E274" s="2"/>
    </row>
    <row r="275" spans="1:5">
      <c r="A275" s="14" t="s">
        <v>211</v>
      </c>
      <c r="B275" s="140"/>
    </row>
    <row r="276" spans="1:5">
      <c r="A276" s="88" t="s">
        <v>345</v>
      </c>
      <c r="B276" s="19"/>
      <c r="C276" s="19"/>
      <c r="D276" s="19"/>
      <c r="E276" s="19"/>
    </row>
    <row r="277" spans="1:5">
      <c r="A277" s="88" t="s">
        <v>346</v>
      </c>
      <c r="B277" s="19"/>
      <c r="C277" s="19"/>
      <c r="D277" s="19"/>
      <c r="E277" s="19"/>
    </row>
    <row r="278" spans="1:5">
      <c r="A278" s="118" t="s">
        <v>321</v>
      </c>
      <c r="B278" s="118"/>
      <c r="C278" s="118"/>
      <c r="D278" s="29"/>
      <c r="E278" s="29"/>
    </row>
    <row r="279" spans="1:5">
      <c r="A279" s="88" t="s">
        <v>347</v>
      </c>
      <c r="B279" s="19"/>
      <c r="C279" s="19"/>
      <c r="D279" s="19"/>
      <c r="E279" s="19"/>
    </row>
    <row r="280" spans="1:5">
      <c r="A280" s="88" t="s">
        <v>348</v>
      </c>
      <c r="B280" s="19"/>
      <c r="C280" s="19"/>
      <c r="D280" s="19"/>
      <c r="E280" s="19"/>
    </row>
    <row r="281" spans="1:5">
      <c r="A281" s="88" t="s">
        <v>340</v>
      </c>
      <c r="B281" s="19"/>
      <c r="C281" s="19"/>
      <c r="D281" s="19"/>
      <c r="E281" s="19"/>
    </row>
    <row r="282" spans="1:5">
      <c r="A282" s="88" t="s">
        <v>349</v>
      </c>
      <c r="B282" s="19"/>
      <c r="C282" s="19"/>
      <c r="D282" s="19"/>
      <c r="E282" s="19"/>
    </row>
    <row r="283" ht="13.25" spans="1:5">
      <c r="A283" s="19" t="s">
        <v>250</v>
      </c>
      <c r="B283" s="6"/>
      <c r="C283" s="6"/>
      <c r="D283" s="6"/>
    </row>
    <row r="284" ht="14" spans="1:5">
      <c r="A284" s="21" t="s">
        <v>227</v>
      </c>
      <c r="B284" s="22" t="s">
        <v>330</v>
      </c>
      <c r="C284" s="24"/>
      <c r="D284" s="21" t="s">
        <v>350</v>
      </c>
    </row>
    <row r="285" ht="14" spans="1:5">
      <c r="A285" s="21" t="s">
        <v>230</v>
      </c>
      <c r="B285" s="22" t="s">
        <v>230</v>
      </c>
      <c r="C285" s="24"/>
      <c r="D285" s="21" t="s">
        <v>230</v>
      </c>
    </row>
    <row r="286" ht="14" spans="1:5">
      <c r="A286" s="21" t="s">
        <v>351</v>
      </c>
      <c r="B286" s="22">
        <v>2440</v>
      </c>
      <c r="C286" s="24"/>
      <c r="D286" s="21">
        <v>6000</v>
      </c>
    </row>
    <row r="287" ht="14" spans="1:5">
      <c r="A287" s="21" t="s">
        <v>352</v>
      </c>
      <c r="B287" s="22">
        <v>2440</v>
      </c>
      <c r="C287" s="24"/>
      <c r="D287" s="21">
        <v>6000</v>
      </c>
    </row>
    <row r="288" ht="14" spans="1:5">
      <c r="A288" s="21" t="s">
        <v>353</v>
      </c>
      <c r="B288" s="22">
        <v>2440</v>
      </c>
      <c r="C288" s="24"/>
      <c r="D288" s="21">
        <v>6000</v>
      </c>
    </row>
    <row r="289" ht="14" spans="1:5">
      <c r="A289" s="21" t="s">
        <v>354</v>
      </c>
      <c r="B289" s="22">
        <v>2440</v>
      </c>
      <c r="C289" s="24"/>
      <c r="D289" s="21">
        <v>6000</v>
      </c>
    </row>
    <row r="290" ht="14" spans="1:5">
      <c r="A290" s="21" t="s">
        <v>355</v>
      </c>
      <c r="B290" s="22">
        <v>2440</v>
      </c>
      <c r="C290" s="24"/>
      <c r="D290" s="21">
        <v>6000</v>
      </c>
    </row>
    <row r="291" ht="14" spans="1:5">
      <c r="A291" s="21" t="s">
        <v>356</v>
      </c>
      <c r="B291" s="22">
        <v>2440</v>
      </c>
      <c r="C291" s="24"/>
      <c r="D291" s="21">
        <v>6000</v>
      </c>
    </row>
    <row r="292" ht="14" spans="1:5">
      <c r="A292" s="21" t="s">
        <v>357</v>
      </c>
      <c r="B292" s="22">
        <v>2440</v>
      </c>
      <c r="C292" s="24"/>
      <c r="D292" s="21">
        <v>6000</v>
      </c>
    </row>
    <row r="293" ht="14" spans="1:5">
      <c r="A293" s="21" t="s">
        <v>353</v>
      </c>
      <c r="B293" s="22">
        <v>2440</v>
      </c>
      <c r="C293" s="24"/>
      <c r="D293" s="21">
        <v>12000</v>
      </c>
    </row>
    <row r="294" ht="14" spans="1:5">
      <c r="A294" s="92">
        <v>12</v>
      </c>
      <c r="B294" s="22">
        <v>2440</v>
      </c>
      <c r="C294" s="24"/>
      <c r="D294" s="92">
        <v>12000</v>
      </c>
    </row>
    <row r="295" ht="14" spans="1:5">
      <c r="A295" s="21" t="s">
        <v>358</v>
      </c>
      <c r="B295" s="22">
        <v>2440</v>
      </c>
      <c r="C295" s="24"/>
      <c r="D295" s="21">
        <v>12000</v>
      </c>
    </row>
    <row r="296" ht="14" spans="1:5">
      <c r="A296" s="21" t="s">
        <v>355</v>
      </c>
      <c r="B296" s="22">
        <v>2440</v>
      </c>
      <c r="C296" s="24"/>
      <c r="D296" s="21">
        <v>12000</v>
      </c>
    </row>
    <row r="297" ht="14" spans="1:5">
      <c r="A297" s="21" t="s">
        <v>356</v>
      </c>
      <c r="B297" s="22">
        <v>2440</v>
      </c>
      <c r="C297" s="24"/>
      <c r="D297" s="21">
        <v>12000</v>
      </c>
    </row>
    <row r="298" ht="14" spans="1:5">
      <c r="A298" s="92">
        <v>22</v>
      </c>
      <c r="B298" s="22">
        <v>2440</v>
      </c>
      <c r="C298" s="24"/>
      <c r="D298" s="92">
        <v>12000</v>
      </c>
    </row>
    <row r="299" ht="14" spans="1:5">
      <c r="A299" s="21" t="s">
        <v>357</v>
      </c>
      <c r="B299" s="22">
        <v>2440</v>
      </c>
      <c r="C299" s="24"/>
      <c r="D299" s="21">
        <v>12000</v>
      </c>
    </row>
    <row r="300" ht="13.25" spans="1:5">
      <c r="A300" s="10" t="s">
        <v>238</v>
      </c>
      <c r="B300" s="6"/>
      <c r="C300" s="6"/>
      <c r="D300" s="6"/>
      <c r="E300" s="112"/>
    </row>
    <row r="302" spans="1:5">
      <c r="A302" s="141" t="s">
        <v>359</v>
      </c>
      <c r="B302" s="142"/>
      <c r="C302" s="142" t="s">
        <v>210</v>
      </c>
      <c r="D302" s="142"/>
      <c r="E302" s="142"/>
    </row>
    <row r="303" spans="1:5">
      <c r="B303" s="2"/>
      <c r="C303" s="5"/>
      <c r="D303" s="5"/>
      <c r="E303" s="112"/>
    </row>
    <row r="304" spans="1:5">
      <c r="A304" s="70" t="s">
        <v>211</v>
      </c>
      <c r="B304" s="70"/>
      <c r="C304" s="6"/>
      <c r="D304" s="6"/>
    </row>
    <row r="305" spans="1:5">
      <c r="A305" s="88" t="s">
        <v>360</v>
      </c>
      <c r="B305" s="88"/>
      <c r="C305" s="88"/>
      <c r="D305" s="88"/>
      <c r="E305" s="88"/>
    </row>
    <row r="306" ht="13" spans="1:5">
      <c r="A306" s="88" t="s">
        <v>361</v>
      </c>
      <c r="B306" s="88"/>
      <c r="C306" s="88"/>
      <c r="D306" s="88"/>
      <c r="E306" s="88"/>
    </row>
    <row r="307" spans="1:5">
      <c r="A307" s="88" t="s">
        <v>362</v>
      </c>
      <c r="B307" s="88"/>
      <c r="C307" s="88"/>
      <c r="D307" s="88"/>
      <c r="E307" s="88"/>
    </row>
    <row r="308" spans="1:5">
      <c r="A308" s="88" t="s">
        <v>264</v>
      </c>
      <c r="B308" s="88"/>
      <c r="C308" s="88"/>
      <c r="D308" s="88"/>
      <c r="E308" s="88"/>
    </row>
    <row r="309" spans="1:5">
      <c r="A309" s="19" t="s">
        <v>265</v>
      </c>
      <c r="B309" s="19"/>
      <c r="C309" s="19"/>
      <c r="D309" s="19"/>
      <c r="E309" s="19"/>
    </row>
    <row r="310" spans="1:5">
      <c r="A310" s="10" t="s">
        <v>266</v>
      </c>
      <c r="B310" s="6"/>
      <c r="C310" s="6"/>
      <c r="D310" s="6"/>
    </row>
    <row r="311" spans="1:5">
      <c r="A311" s="10" t="s">
        <v>267</v>
      </c>
      <c r="B311" s="6"/>
      <c r="C311" s="6"/>
      <c r="D311" s="6"/>
    </row>
    <row r="312" ht="13.25" spans="1:5">
      <c r="A312" s="19" t="s">
        <v>250</v>
      </c>
      <c r="B312" s="6"/>
      <c r="C312" s="6"/>
      <c r="D312" s="6"/>
    </row>
    <row r="313" ht="14" spans="1:5">
      <c r="A313" s="21" t="s">
        <v>227</v>
      </c>
      <c r="B313" s="21" t="s">
        <v>228</v>
      </c>
      <c r="C313" s="21"/>
      <c r="D313" s="21" t="s">
        <v>229</v>
      </c>
      <c r="E313" s="21"/>
    </row>
    <row r="314" ht="14" spans="1:5">
      <c r="A314" s="21">
        <v>0.46</v>
      </c>
      <c r="B314" s="21" t="s">
        <v>235</v>
      </c>
      <c r="C314" s="21" t="s">
        <v>235</v>
      </c>
      <c r="D314" s="21">
        <v>1219</v>
      </c>
      <c r="E314" s="21" t="s">
        <v>236</v>
      </c>
    </row>
    <row r="315" ht="13.25" spans="1:5">
      <c r="A315" s="10" t="s">
        <v>238</v>
      </c>
      <c r="B315" s="6"/>
      <c r="C315" s="6"/>
      <c r="D315" s="6"/>
      <c r="E315" s="6"/>
    </row>
    <row r="316" spans="1:5">
      <c r="B316" s="2"/>
      <c r="C316" s="2"/>
      <c r="D316" s="2"/>
      <c r="E316" s="2"/>
    </row>
    <row r="317" ht="13.25" spans="1:5">
      <c r="B317" s="10"/>
      <c r="C317" s="6"/>
      <c r="D317" s="6"/>
    </row>
    <row r="318" ht="14" spans="1:5">
      <c r="A318" s="11" t="s">
        <v>363</v>
      </c>
      <c r="B318" s="12" t="s">
        <v>261</v>
      </c>
      <c r="C318" s="12"/>
      <c r="D318" s="12"/>
      <c r="E318" s="12"/>
    </row>
    <row r="319" ht="13.25" spans="1:5">
      <c r="B319" s="6"/>
      <c r="C319" s="6"/>
      <c r="D319" s="6"/>
    </row>
    <row r="320" spans="1:5">
      <c r="A320" s="14" t="s">
        <v>211</v>
      </c>
      <c r="B320" s="6"/>
      <c r="C320" s="6"/>
      <c r="D320" s="6"/>
    </row>
    <row r="321" spans="1:5">
      <c r="A321" s="19" t="s">
        <v>364</v>
      </c>
      <c r="B321" s="6"/>
      <c r="C321" s="6"/>
      <c r="D321" s="6"/>
    </row>
    <row r="322" spans="1:5">
      <c r="A322" s="19" t="s">
        <v>263</v>
      </c>
      <c r="B322" s="6"/>
      <c r="C322" s="6"/>
      <c r="D322" s="6"/>
    </row>
    <row r="323" spans="1:5">
      <c r="A323" s="88" t="s">
        <v>264</v>
      </c>
      <c r="B323" s="57"/>
      <c r="C323" s="6"/>
      <c r="D323" s="6"/>
    </row>
    <row r="324" spans="1:5">
      <c r="A324" s="88" t="s">
        <v>265</v>
      </c>
      <c r="B324" s="19"/>
      <c r="C324" s="19"/>
      <c r="D324" s="19"/>
      <c r="E324" s="19"/>
    </row>
    <row r="325" spans="1:5">
      <c r="A325" s="19" t="s">
        <v>365</v>
      </c>
      <c r="B325" s="19"/>
      <c r="C325" s="19"/>
      <c r="D325" s="19"/>
      <c r="E325" s="19"/>
    </row>
    <row r="326" spans="1:5">
      <c r="A326" s="19" t="s">
        <v>366</v>
      </c>
      <c r="B326" s="88"/>
      <c r="C326" s="88"/>
      <c r="D326" s="88"/>
      <c r="E326" s="88"/>
    </row>
    <row r="327" ht="13.25" spans="1:5">
      <c r="A327" s="19" t="s">
        <v>250</v>
      </c>
      <c r="B327" s="6"/>
      <c r="C327" s="6"/>
      <c r="D327" s="6"/>
    </row>
    <row r="328" ht="14" spans="1:5">
      <c r="A328" s="21" t="s">
        <v>227</v>
      </c>
      <c r="B328" s="21" t="s">
        <v>228</v>
      </c>
      <c r="C328" s="21"/>
      <c r="D328" s="21" t="s">
        <v>229</v>
      </c>
      <c r="E328" s="21"/>
    </row>
    <row r="329" ht="14" spans="1:5">
      <c r="A329" s="21" t="s">
        <v>230</v>
      </c>
      <c r="B329" s="21" t="s">
        <v>231</v>
      </c>
      <c r="C329" s="21" t="s">
        <v>232</v>
      </c>
      <c r="D329" s="21" t="s">
        <v>230</v>
      </c>
      <c r="E329" s="21" t="s">
        <v>233</v>
      </c>
    </row>
    <row r="330" ht="14" spans="1:5">
      <c r="A330" s="21" t="s">
        <v>367</v>
      </c>
      <c r="B330" s="21" t="s">
        <v>253</v>
      </c>
      <c r="C330" s="21" t="s">
        <v>235</v>
      </c>
      <c r="D330" s="143">
        <v>940</v>
      </c>
      <c r="E330" s="21" t="s">
        <v>236</v>
      </c>
    </row>
    <row r="331" ht="14" spans="1:5">
      <c r="A331" s="21" t="s">
        <v>234</v>
      </c>
      <c r="B331" s="21" t="s">
        <v>253</v>
      </c>
      <c r="C331" s="21" t="s">
        <v>235</v>
      </c>
      <c r="D331" s="143">
        <v>940</v>
      </c>
      <c r="E331" s="21" t="s">
        <v>236</v>
      </c>
    </row>
    <row r="332" ht="14" spans="1:5">
      <c r="A332" s="21" t="s">
        <v>237</v>
      </c>
      <c r="B332" s="21" t="s">
        <v>253</v>
      </c>
      <c r="C332" s="21" t="s">
        <v>235</v>
      </c>
      <c r="D332" s="143">
        <v>940</v>
      </c>
      <c r="E332" s="21" t="s">
        <v>236</v>
      </c>
    </row>
    <row r="333" ht="13.25" spans="1:5">
      <c r="A333" s="10" t="s">
        <v>238</v>
      </c>
      <c r="B333" s="6"/>
      <c r="C333" s="6"/>
      <c r="D333" s="6"/>
      <c r="E333" s="6"/>
    </row>
    <row r="334" spans="1:5">
      <c r="A334" s="16"/>
      <c r="B334" s="16"/>
      <c r="C334" s="16"/>
      <c r="D334" s="16"/>
      <c r="E334" s="16"/>
    </row>
    <row r="335" ht="13.25" spans="1:5">
      <c r="B335" s="10"/>
      <c r="C335" s="6"/>
      <c r="D335" s="6"/>
    </row>
    <row r="336" ht="14" spans="1:5">
      <c r="A336" s="11" t="s">
        <v>368</v>
      </c>
      <c r="B336" s="12" t="s">
        <v>261</v>
      </c>
      <c r="C336" s="12"/>
      <c r="D336" s="12"/>
      <c r="E336" s="12"/>
    </row>
    <row r="337" ht="13.25" spans="1:5">
      <c r="B337" s="6"/>
      <c r="C337" s="6"/>
      <c r="D337" s="6"/>
    </row>
    <row r="338" spans="1:5">
      <c r="A338" s="14" t="s">
        <v>211</v>
      </c>
      <c r="B338" s="57"/>
      <c r="C338" s="6"/>
      <c r="D338" s="6"/>
    </row>
    <row r="339" spans="1:5">
      <c r="A339" s="19" t="s">
        <v>364</v>
      </c>
      <c r="B339" s="19"/>
      <c r="C339" s="19"/>
      <c r="D339" s="19"/>
      <c r="E339" s="19"/>
    </row>
    <row r="340" spans="1:5">
      <c r="A340" s="19" t="s">
        <v>369</v>
      </c>
      <c r="B340" s="113"/>
      <c r="C340" s="19"/>
      <c r="D340" s="19"/>
      <c r="E340" s="19"/>
    </row>
    <row r="341" spans="1:5">
      <c r="A341" s="88" t="s">
        <v>264</v>
      </c>
      <c r="B341" s="88"/>
      <c r="C341" s="88"/>
      <c r="D341" s="88"/>
      <c r="E341" s="88"/>
    </row>
    <row r="342" spans="1:5">
      <c r="A342" s="88" t="s">
        <v>265</v>
      </c>
      <c r="B342" s="88"/>
      <c r="C342" s="88"/>
      <c r="D342" s="88"/>
      <c r="E342" s="88"/>
    </row>
    <row r="343" spans="1:5">
      <c r="A343" s="19" t="s">
        <v>365</v>
      </c>
      <c r="B343" s="19"/>
      <c r="C343" s="19"/>
      <c r="D343" s="19"/>
      <c r="E343" s="19"/>
    </row>
    <row r="344" spans="1:5">
      <c r="A344" s="19" t="s">
        <v>366</v>
      </c>
      <c r="B344" s="19"/>
      <c r="C344" s="19"/>
      <c r="D344" s="19"/>
      <c r="E344" s="19"/>
    </row>
    <row r="345" ht="13.25" spans="1:5">
      <c r="A345" s="19" t="s">
        <v>250</v>
      </c>
      <c r="B345" s="6"/>
      <c r="C345" s="6"/>
      <c r="D345" s="6"/>
    </row>
    <row r="346" ht="14" spans="1:5">
      <c r="A346" s="21" t="s">
        <v>227</v>
      </c>
      <c r="B346" s="21" t="s">
        <v>228</v>
      </c>
      <c r="C346" s="21"/>
      <c r="D346" s="21" t="s">
        <v>229</v>
      </c>
      <c r="E346" s="21"/>
    </row>
    <row r="347" ht="14" spans="1:5">
      <c r="A347" s="21" t="s">
        <v>230</v>
      </c>
      <c r="B347" s="21" t="s">
        <v>231</v>
      </c>
      <c r="C347" s="21" t="s">
        <v>232</v>
      </c>
      <c r="D347" s="21" t="s">
        <v>230</v>
      </c>
      <c r="E347" s="21" t="s">
        <v>233</v>
      </c>
    </row>
    <row r="348" ht="14" spans="1:5">
      <c r="A348" s="21" t="s">
        <v>367</v>
      </c>
      <c r="B348" s="21" t="s">
        <v>253</v>
      </c>
      <c r="C348" s="21" t="s">
        <v>235</v>
      </c>
      <c r="D348" s="143">
        <v>940</v>
      </c>
      <c r="E348" s="21" t="s">
        <v>236</v>
      </c>
    </row>
    <row r="349" ht="14" spans="1:5">
      <c r="A349" s="21" t="s">
        <v>234</v>
      </c>
      <c r="B349" s="21" t="s">
        <v>253</v>
      </c>
      <c r="C349" s="21" t="s">
        <v>235</v>
      </c>
      <c r="D349" s="143">
        <v>940</v>
      </c>
      <c r="E349" s="21" t="s">
        <v>236</v>
      </c>
    </row>
    <row r="350" ht="14" spans="1:5">
      <c r="A350" s="21" t="s">
        <v>256</v>
      </c>
      <c r="B350" s="21" t="s">
        <v>253</v>
      </c>
      <c r="C350" s="21" t="s">
        <v>235</v>
      </c>
      <c r="D350" s="143">
        <v>1219</v>
      </c>
      <c r="E350" s="21" t="s">
        <v>236</v>
      </c>
    </row>
    <row r="351" ht="13.25" spans="1:5">
      <c r="A351" s="10" t="s">
        <v>238</v>
      </c>
      <c r="B351" s="6"/>
      <c r="C351" s="6"/>
      <c r="D351" s="6"/>
      <c r="E351" s="6"/>
    </row>
    <row r="352" spans="1:5">
      <c r="A352" s="10"/>
      <c r="B352" s="6"/>
      <c r="C352" s="6"/>
      <c r="D352" s="6"/>
      <c r="E352" s="6"/>
    </row>
    <row r="353" ht="13.25" spans="1:5">
      <c r="A353" s="10"/>
      <c r="B353" s="6"/>
      <c r="C353" s="6"/>
      <c r="D353" s="6"/>
      <c r="E353" s="6"/>
    </row>
    <row r="354" ht="14.5" spans="1:5">
      <c r="A354" s="42" t="s">
        <v>370</v>
      </c>
      <c r="B354" s="43" t="s">
        <v>371</v>
      </c>
      <c r="C354" s="43"/>
      <c r="D354" s="43"/>
      <c r="E354" s="43"/>
    </row>
    <row r="355" ht="13.25" spans="1:5">
      <c r="A355" s="45"/>
      <c r="B355" s="45"/>
      <c r="C355" s="46"/>
      <c r="D355" s="46"/>
      <c r="E355" s="144"/>
    </row>
    <row r="356" ht="13" spans="1:5">
      <c r="A356" s="15" t="s">
        <v>211</v>
      </c>
      <c r="B356" s="45"/>
      <c r="C356" s="46"/>
      <c r="D356" s="46"/>
      <c r="E356" s="144"/>
    </row>
    <row r="357" ht="13" spans="1:5">
      <c r="A357" s="20" t="s">
        <v>372</v>
      </c>
      <c r="B357" s="29"/>
      <c r="C357" s="29"/>
      <c r="D357" s="29"/>
      <c r="E357" s="29"/>
    </row>
    <row r="358" ht="13" spans="1:5">
      <c r="A358" s="20" t="s">
        <v>373</v>
      </c>
      <c r="B358" s="29"/>
      <c r="C358" s="29"/>
      <c r="D358" s="29"/>
      <c r="E358" s="29"/>
    </row>
    <row r="359" ht="13" spans="1:5">
      <c r="A359" s="20" t="s">
        <v>323</v>
      </c>
      <c r="B359" s="29"/>
      <c r="C359" s="29"/>
      <c r="D359" s="29"/>
      <c r="E359" s="29"/>
    </row>
    <row r="360" ht="13" spans="1:5">
      <c r="A360" s="20" t="s">
        <v>265</v>
      </c>
      <c r="B360" s="10"/>
      <c r="C360" s="28"/>
      <c r="D360" s="28"/>
      <c r="E360" s="2"/>
    </row>
    <row r="361" ht="13.25" spans="1:5">
      <c r="A361" s="19" t="s">
        <v>250</v>
      </c>
      <c r="B361" s="2"/>
      <c r="C361" s="2"/>
      <c r="D361" s="2"/>
      <c r="E361" s="2"/>
    </row>
    <row r="362" ht="14.5" spans="1:5">
      <c r="A362" s="49" t="s">
        <v>374</v>
      </c>
      <c r="B362" s="50" t="s">
        <v>229</v>
      </c>
      <c r="C362" s="50" t="s">
        <v>375</v>
      </c>
      <c r="D362" s="25"/>
    </row>
    <row r="363" ht="14.5" spans="1:5">
      <c r="A363" s="51" t="s">
        <v>230</v>
      </c>
      <c r="B363" s="52" t="s">
        <v>230</v>
      </c>
      <c r="C363" s="52"/>
      <c r="D363" s="53"/>
      <c r="E363" s="2"/>
    </row>
    <row r="364" ht="14.5" spans="1:5">
      <c r="A364" s="51" t="s">
        <v>376</v>
      </c>
      <c r="B364" s="52">
        <v>1500</v>
      </c>
      <c r="C364" s="52" t="s">
        <v>377</v>
      </c>
      <c r="D364" s="145"/>
      <c r="E364" s="2"/>
    </row>
    <row r="365" ht="14.5" spans="1:5">
      <c r="A365" s="146" t="s">
        <v>378</v>
      </c>
      <c r="B365" s="52">
        <v>1500</v>
      </c>
      <c r="C365" s="52" t="s">
        <v>377</v>
      </c>
      <c r="D365" s="145"/>
      <c r="E365" s="2"/>
    </row>
    <row r="366" ht="14.5" spans="1:5">
      <c r="A366" s="146" t="s">
        <v>379</v>
      </c>
      <c r="B366" s="52">
        <v>1500</v>
      </c>
      <c r="C366" s="52" t="s">
        <v>377</v>
      </c>
      <c r="D366" s="145"/>
      <c r="E366" s="2"/>
    </row>
    <row r="367" ht="14.5" spans="1:5">
      <c r="A367" s="51" t="s">
        <v>376</v>
      </c>
      <c r="B367" s="52">
        <v>1500</v>
      </c>
      <c r="C367" s="52" t="s">
        <v>380</v>
      </c>
      <c r="D367" s="145"/>
      <c r="E367" s="2"/>
    </row>
    <row r="368" ht="14.5" spans="1:5">
      <c r="A368" s="51">
        <v>2</v>
      </c>
      <c r="B368" s="52">
        <v>1500</v>
      </c>
      <c r="C368" s="52" t="s">
        <v>178</v>
      </c>
      <c r="D368" s="145"/>
      <c r="E368" s="2"/>
    </row>
    <row r="369" ht="14.5" spans="1:5">
      <c r="A369" s="51" t="s">
        <v>378</v>
      </c>
      <c r="B369" s="52">
        <v>1500</v>
      </c>
      <c r="C369" s="52" t="s">
        <v>178</v>
      </c>
      <c r="D369" s="145"/>
      <c r="E369" s="2"/>
    </row>
    <row r="370" ht="14.5" spans="1:5">
      <c r="A370" s="146" t="s">
        <v>376</v>
      </c>
      <c r="B370" s="52">
        <v>1500</v>
      </c>
      <c r="C370" s="52" t="s">
        <v>178</v>
      </c>
      <c r="D370" s="145"/>
      <c r="E370" s="2"/>
    </row>
    <row r="371" ht="14.5" spans="1:5">
      <c r="A371" s="54" t="s">
        <v>381</v>
      </c>
      <c r="B371" s="52">
        <v>1200</v>
      </c>
      <c r="C371" s="52" t="s">
        <v>178</v>
      </c>
      <c r="D371" s="145"/>
      <c r="E371" s="2"/>
    </row>
    <row r="372" ht="14.5" spans="1:5">
      <c r="A372" s="146" t="s">
        <v>379</v>
      </c>
      <c r="B372" s="52">
        <v>1500</v>
      </c>
      <c r="C372" s="52" t="s">
        <v>178</v>
      </c>
      <c r="D372" s="145"/>
      <c r="E372" s="2"/>
    </row>
    <row r="373" ht="13.75" spans="1:5">
      <c r="A373" s="13"/>
      <c r="B373" s="13"/>
      <c r="C373" s="13"/>
      <c r="D373" s="112"/>
      <c r="E373" s="2"/>
    </row>
    <row r="374" spans="1:5">
      <c r="A374" s="10"/>
      <c r="B374" s="6"/>
      <c r="C374" s="6"/>
    </row>
    <row r="375" ht="13.25" spans="1:5">
      <c r="A375" s="10"/>
      <c r="B375" s="6"/>
      <c r="C375" s="6"/>
      <c r="D375" s="6"/>
      <c r="E375" s="6"/>
    </row>
    <row r="376" ht="14" spans="1:5">
      <c r="A376" s="147" t="s">
        <v>382</v>
      </c>
      <c r="B376" s="148"/>
      <c r="C376" s="149" t="s">
        <v>383</v>
      </c>
      <c r="D376" s="149"/>
      <c r="E376" s="149"/>
    </row>
    <row r="377" ht="13.75" spans="1:5">
      <c r="A377" s="150"/>
      <c r="B377" s="150"/>
      <c r="C377" s="151"/>
      <c r="D377" s="151"/>
      <c r="E377" s="150"/>
    </row>
    <row r="378" ht="13" spans="1:5">
      <c r="A378" s="152" t="s">
        <v>211</v>
      </c>
      <c r="B378" s="152"/>
      <c r="C378" s="153"/>
      <c r="D378" s="153"/>
      <c r="E378" s="150"/>
    </row>
    <row r="379" spans="1:5">
      <c r="A379" s="154" t="s">
        <v>384</v>
      </c>
      <c r="B379" s="154"/>
      <c r="C379" s="154"/>
      <c r="D379" s="154"/>
      <c r="E379" s="154"/>
    </row>
    <row r="380" spans="1:5">
      <c r="A380" s="154" t="s">
        <v>385</v>
      </c>
      <c r="B380" s="154"/>
      <c r="C380" s="154"/>
      <c r="D380" s="154"/>
      <c r="E380" s="154"/>
    </row>
    <row r="381" spans="1:5">
      <c r="A381" s="155" t="s">
        <v>386</v>
      </c>
      <c r="B381" s="155"/>
      <c r="C381" s="155"/>
      <c r="D381" s="155"/>
      <c r="E381" s="155"/>
    </row>
    <row r="382" spans="1:5">
      <c r="A382" s="154" t="s">
        <v>387</v>
      </c>
      <c r="B382" s="154"/>
      <c r="C382" s="154"/>
      <c r="D382" s="154"/>
      <c r="E382" s="154"/>
    </row>
    <row r="383" spans="1:5">
      <c r="A383" s="154" t="s">
        <v>388</v>
      </c>
      <c r="B383" s="154"/>
      <c r="C383" s="154"/>
      <c r="D383" s="154"/>
      <c r="E383" s="154"/>
    </row>
    <row r="384" spans="1:5">
      <c r="A384" s="154" t="s">
        <v>389</v>
      </c>
      <c r="B384" s="154"/>
      <c r="C384" s="154"/>
      <c r="D384" s="154"/>
      <c r="E384" s="154"/>
    </row>
    <row r="385" spans="1:5">
      <c r="A385" s="154" t="s">
        <v>390</v>
      </c>
      <c r="B385" s="154"/>
      <c r="C385" s="154"/>
      <c r="D385" s="154"/>
      <c r="E385" s="154"/>
    </row>
    <row r="386" ht="13.75" spans="1:5">
      <c r="A386" s="19" t="s">
        <v>250</v>
      </c>
      <c r="B386" s="153"/>
      <c r="C386" s="153"/>
      <c r="D386" s="153"/>
      <c r="E386" s="150"/>
    </row>
    <row r="387" ht="14" spans="1:5">
      <c r="A387" s="156" t="s">
        <v>227</v>
      </c>
      <c r="B387" s="157" t="s">
        <v>228</v>
      </c>
      <c r="C387" s="158"/>
      <c r="D387" s="158" t="s">
        <v>229</v>
      </c>
      <c r="E387" s="158" t="s">
        <v>251</v>
      </c>
    </row>
    <row r="388" ht="14" spans="1:5">
      <c r="A388" s="159" t="s">
        <v>230</v>
      </c>
      <c r="B388" s="160" t="s">
        <v>231</v>
      </c>
      <c r="C388" s="160" t="s">
        <v>232</v>
      </c>
      <c r="D388" s="160" t="s">
        <v>230</v>
      </c>
      <c r="E388" s="160" t="s">
        <v>252</v>
      </c>
    </row>
    <row r="389" ht="14" spans="1:5">
      <c r="A389" s="159" t="s">
        <v>237</v>
      </c>
      <c r="B389" s="160" t="s">
        <v>391</v>
      </c>
      <c r="C389" s="160" t="s">
        <v>235</v>
      </c>
      <c r="D389" s="160">
        <v>1219</v>
      </c>
      <c r="E389" s="160" t="s">
        <v>392</v>
      </c>
    </row>
    <row r="390" ht="13.25" spans="1:5">
      <c r="B390" s="2"/>
      <c r="C390" s="2"/>
      <c r="D390" s="2"/>
      <c r="E390" s="2"/>
    </row>
    <row r="391" spans="1:5">
      <c r="B391" s="2"/>
      <c r="C391" s="2"/>
      <c r="D391" s="2"/>
      <c r="E391" s="2"/>
    </row>
    <row r="392" ht="13.25" spans="1:5">
      <c r="B392" s="2"/>
      <c r="C392" s="2"/>
      <c r="D392" s="2"/>
      <c r="E392" s="2"/>
    </row>
    <row r="393" ht="14" spans="1:5">
      <c r="A393" s="141" t="s">
        <v>393</v>
      </c>
      <c r="B393" s="142"/>
      <c r="C393" s="161" t="s">
        <v>240</v>
      </c>
      <c r="D393" s="161"/>
      <c r="E393" s="161"/>
    </row>
    <row r="394" ht="13.25" spans="1:5">
      <c r="B394" s="2"/>
      <c r="C394" s="5"/>
      <c r="D394" s="5"/>
      <c r="E394" s="112"/>
    </row>
    <row r="395" spans="1:5">
      <c r="A395" s="70" t="s">
        <v>211</v>
      </c>
      <c r="B395" s="70"/>
      <c r="C395" s="6"/>
      <c r="D395" s="6"/>
    </row>
    <row r="396" spans="1:5">
      <c r="A396" s="19" t="s">
        <v>394</v>
      </c>
      <c r="B396" s="19"/>
      <c r="C396" s="19"/>
      <c r="D396" s="19"/>
      <c r="E396" s="19"/>
    </row>
    <row r="397" spans="1:5">
      <c r="A397" s="19" t="s">
        <v>385</v>
      </c>
      <c r="B397" s="19"/>
      <c r="C397" s="19"/>
      <c r="D397" s="19"/>
      <c r="E397" s="19"/>
    </row>
    <row r="398" ht="14.5" spans="1:5">
      <c r="A398" s="19" t="s">
        <v>395</v>
      </c>
      <c r="B398" s="113"/>
      <c r="C398" s="19"/>
      <c r="D398" s="19"/>
      <c r="E398" s="19"/>
    </row>
    <row r="399" spans="1:5">
      <c r="A399" s="19" t="s">
        <v>396</v>
      </c>
      <c r="B399" s="19"/>
      <c r="C399" s="19"/>
      <c r="D399" s="19"/>
      <c r="E399" s="19"/>
    </row>
    <row r="400" ht="14.5" spans="1:5">
      <c r="A400" s="19" t="s">
        <v>397</v>
      </c>
      <c r="B400" s="19"/>
      <c r="C400" s="19"/>
      <c r="D400" s="19"/>
      <c r="E400" s="19"/>
    </row>
    <row r="401" spans="1:6">
      <c r="A401" s="19" t="s">
        <v>398</v>
      </c>
      <c r="B401" s="19"/>
      <c r="C401" s="19"/>
      <c r="D401" s="19"/>
      <c r="E401" s="19"/>
    </row>
    <row r="402" spans="1:6">
      <c r="A402" s="16" t="s">
        <v>399</v>
      </c>
      <c r="B402" s="16"/>
      <c r="C402" s="16"/>
      <c r="D402" s="16"/>
      <c r="E402" s="16"/>
    </row>
    <row r="403" spans="1:6">
      <c r="A403" s="16" t="s">
        <v>400</v>
      </c>
      <c r="B403" s="16"/>
      <c r="C403" s="16"/>
      <c r="D403" s="16"/>
      <c r="E403" s="16"/>
    </row>
    <row r="404" spans="1:6">
      <c r="A404" s="88" t="s">
        <v>390</v>
      </c>
      <c r="B404" s="88"/>
      <c r="C404" s="88"/>
      <c r="D404" s="88"/>
      <c r="E404" s="88"/>
    </row>
    <row r="405" spans="1:6">
      <c r="A405" s="88" t="s">
        <v>265</v>
      </c>
      <c r="B405" s="88"/>
      <c r="C405" s="88"/>
      <c r="D405" s="88"/>
      <c r="E405" s="88"/>
    </row>
    <row r="406" spans="1:6">
      <c r="A406" s="88" t="s">
        <v>401</v>
      </c>
      <c r="B406" s="88"/>
      <c r="C406" s="88"/>
      <c r="D406" s="88"/>
      <c r="E406" s="88"/>
    </row>
    <row r="407" ht="13.25" spans="1:6">
      <c r="A407" s="19" t="s">
        <v>250</v>
      </c>
      <c r="B407" s="6"/>
      <c r="C407" s="6"/>
      <c r="D407" s="6"/>
    </row>
    <row r="408" ht="14" spans="1:6">
      <c r="A408" s="21" t="s">
        <v>227</v>
      </c>
      <c r="B408" s="21" t="s">
        <v>228</v>
      </c>
      <c r="C408" s="21"/>
      <c r="D408" s="21" t="s">
        <v>229</v>
      </c>
      <c r="E408" s="21" t="s">
        <v>251</v>
      </c>
    </row>
    <row r="409" ht="14" spans="1:6">
      <c r="A409" s="21" t="s">
        <v>230</v>
      </c>
      <c r="B409" s="21" t="s">
        <v>231</v>
      </c>
      <c r="C409" s="21" t="s">
        <v>232</v>
      </c>
      <c r="D409" s="21" t="s">
        <v>230</v>
      </c>
      <c r="E409" s="21" t="s">
        <v>252</v>
      </c>
    </row>
    <row r="410" ht="14" spans="1:6">
      <c r="A410" s="21" t="s">
        <v>256</v>
      </c>
      <c r="B410" s="21" t="s">
        <v>253</v>
      </c>
      <c r="C410" s="21" t="s">
        <v>235</v>
      </c>
      <c r="D410" s="115">
        <v>1219</v>
      </c>
      <c r="E410" s="21">
        <v>7024</v>
      </c>
    </row>
    <row r="411" ht="14" spans="1:6">
      <c r="A411" s="21" t="s">
        <v>256</v>
      </c>
      <c r="B411" s="21" t="s">
        <v>253</v>
      </c>
      <c r="C411" s="21" t="s">
        <v>235</v>
      </c>
      <c r="D411" s="115">
        <v>1219</v>
      </c>
      <c r="E411" s="21">
        <v>9002</v>
      </c>
    </row>
    <row r="412" ht="14" spans="1:6">
      <c r="A412" s="21" t="s">
        <v>256</v>
      </c>
      <c r="B412" s="21" t="s">
        <v>253</v>
      </c>
      <c r="C412" s="21" t="s">
        <v>235</v>
      </c>
      <c r="D412" s="115">
        <v>1219</v>
      </c>
      <c r="E412" s="21">
        <v>7040</v>
      </c>
    </row>
    <row r="413" ht="14" spans="1:6">
      <c r="A413" s="21" t="s">
        <v>256</v>
      </c>
      <c r="B413" s="21" t="s">
        <v>253</v>
      </c>
      <c r="C413" s="21" t="s">
        <v>235</v>
      </c>
      <c r="D413" s="115">
        <v>1219</v>
      </c>
      <c r="E413" s="21">
        <v>9003</v>
      </c>
    </row>
    <row r="414" ht="14" spans="1:6">
      <c r="A414" s="21" t="s">
        <v>256</v>
      </c>
      <c r="B414" s="21" t="s">
        <v>253</v>
      </c>
      <c r="C414" s="21" t="s">
        <v>235</v>
      </c>
      <c r="D414" s="115">
        <v>1219</v>
      </c>
      <c r="E414" s="21">
        <v>5005</v>
      </c>
    </row>
    <row r="415" ht="14" spans="1:6">
      <c r="B415" s="2"/>
      <c r="C415" s="2"/>
      <c r="D415" s="2"/>
      <c r="E415" s="2"/>
    </row>
    <row r="416" ht="14.5" spans="1:6">
      <c r="A416" s="162" t="s">
        <v>402</v>
      </c>
      <c r="B416" s="163"/>
      <c r="C416" s="163"/>
      <c r="D416" s="163"/>
      <c r="E416" s="163"/>
      <c r="F416" s="164"/>
    </row>
    <row r="417" ht="14.5" spans="1:5">
      <c r="A417" s="165" t="s">
        <v>403</v>
      </c>
      <c r="B417" s="166" t="s">
        <v>404</v>
      </c>
      <c r="C417" s="167" t="s">
        <v>405</v>
      </c>
      <c r="D417" s="168" t="s">
        <v>406</v>
      </c>
      <c r="E417" s="169" t="s">
        <v>407</v>
      </c>
    </row>
    <row r="418" ht="14.5" spans="1:5">
      <c r="A418" s="170">
        <v>34000146</v>
      </c>
      <c r="B418" s="171" t="s">
        <v>138</v>
      </c>
      <c r="C418" s="172">
        <v>6</v>
      </c>
      <c r="D418" s="173">
        <v>13.7</v>
      </c>
      <c r="E418" s="174">
        <v>82.2</v>
      </c>
    </row>
    <row r="419" ht="14.5" spans="1:5">
      <c r="A419" s="175">
        <v>34000147</v>
      </c>
      <c r="B419" s="171" t="s">
        <v>139</v>
      </c>
      <c r="C419" s="172">
        <v>6</v>
      </c>
      <c r="D419" s="173">
        <v>18</v>
      </c>
      <c r="E419" s="174">
        <f t="shared" ref="E419:E421" si="0">+D419*C419</f>
        <v>108</v>
      </c>
    </row>
    <row r="420" ht="14.5" spans="1:5">
      <c r="A420" s="170">
        <v>34000161</v>
      </c>
      <c r="B420" s="171" t="s">
        <v>408</v>
      </c>
      <c r="C420" s="172">
        <v>12</v>
      </c>
      <c r="D420" s="173">
        <v>18</v>
      </c>
      <c r="E420" s="174">
        <f t="shared" si="0"/>
        <v>216</v>
      </c>
    </row>
    <row r="421" ht="14.5" spans="1:5">
      <c r="A421" s="170">
        <v>34000148</v>
      </c>
      <c r="B421" s="171" t="s">
        <v>409</v>
      </c>
      <c r="C421" s="172">
        <v>6</v>
      </c>
      <c r="D421" s="173">
        <v>22.3</v>
      </c>
      <c r="E421" s="174">
        <f t="shared" si="0"/>
        <v>133.8</v>
      </c>
    </row>
    <row r="422" ht="14.5" spans="1:5">
      <c r="A422" s="170">
        <v>34000162</v>
      </c>
      <c r="B422" s="171" t="s">
        <v>410</v>
      </c>
      <c r="C422" s="172">
        <v>12</v>
      </c>
      <c r="D422" s="173">
        <v>22.3</v>
      </c>
      <c r="E422" s="174">
        <v>267.6</v>
      </c>
    </row>
    <row r="423" ht="14.5" spans="1:5">
      <c r="A423" s="170">
        <v>34000149</v>
      </c>
      <c r="B423" s="170" t="s">
        <v>411</v>
      </c>
      <c r="C423" s="170">
        <v>6</v>
      </c>
      <c r="D423" s="170">
        <f>+E423/C423</f>
        <v>18.4</v>
      </c>
      <c r="E423" s="170">
        <v>110.4</v>
      </c>
    </row>
    <row r="424" ht="14.5" spans="1:5">
      <c r="A424" s="170">
        <v>34000150</v>
      </c>
      <c r="B424" s="170" t="s">
        <v>412</v>
      </c>
      <c r="C424" s="170">
        <v>6</v>
      </c>
      <c r="D424" s="170">
        <v>24.3</v>
      </c>
      <c r="E424" s="170">
        <f>+D424*C424</f>
        <v>145.8</v>
      </c>
    </row>
    <row r="425" ht="14.5" spans="1:5">
      <c r="A425" s="170">
        <v>34000164</v>
      </c>
      <c r="B425" s="170" t="s">
        <v>141</v>
      </c>
      <c r="C425" s="170">
        <v>12</v>
      </c>
      <c r="D425" s="170">
        <v>24.3</v>
      </c>
      <c r="E425" s="170">
        <f>+D425*C425</f>
        <v>291.6</v>
      </c>
    </row>
    <row r="426" ht="14.5" spans="1:5">
      <c r="A426" s="170">
        <v>34000172</v>
      </c>
      <c r="B426" s="170" t="s">
        <v>413</v>
      </c>
      <c r="C426" s="170">
        <v>12</v>
      </c>
      <c r="D426" s="170">
        <v>30.1</v>
      </c>
      <c r="E426" s="170">
        <v>361.2</v>
      </c>
    </row>
    <row r="427" ht="14.5" spans="1:5">
      <c r="A427" s="170">
        <v>34000157</v>
      </c>
      <c r="B427" s="171" t="s">
        <v>414</v>
      </c>
      <c r="C427" s="172">
        <v>6</v>
      </c>
      <c r="D427" s="173">
        <v>30.1</v>
      </c>
      <c r="E427" s="174">
        <v>180.6</v>
      </c>
    </row>
    <row r="428" ht="14.5" spans="1:5">
      <c r="A428" s="170">
        <v>34000165</v>
      </c>
      <c r="B428" s="171" t="s">
        <v>415</v>
      </c>
      <c r="C428" s="172">
        <v>12</v>
      </c>
      <c r="D428" s="173">
        <v>35.8</v>
      </c>
      <c r="E428" s="174">
        <f>+D428*C428</f>
        <v>429.6</v>
      </c>
    </row>
    <row r="429" ht="14.5" spans="1:5">
      <c r="A429" s="175">
        <v>34000182</v>
      </c>
      <c r="B429" s="171" t="s">
        <v>137</v>
      </c>
      <c r="C429" s="172">
        <v>6</v>
      </c>
      <c r="D429" s="173">
        <v>11.3</v>
      </c>
      <c r="E429" s="174">
        <v>67.8</v>
      </c>
    </row>
    <row r="430" ht="14.5" spans="1:5">
      <c r="A430" s="170">
        <v>34000195</v>
      </c>
      <c r="B430" s="171" t="s">
        <v>416</v>
      </c>
      <c r="C430" s="172">
        <v>12</v>
      </c>
      <c r="D430" s="173">
        <v>11.3</v>
      </c>
      <c r="E430" s="174">
        <v>135.6</v>
      </c>
    </row>
    <row r="431" ht="14.5" spans="1:5">
      <c r="A431" s="170">
        <v>34000174</v>
      </c>
      <c r="B431" s="171" t="s">
        <v>417</v>
      </c>
      <c r="C431" s="172">
        <v>6</v>
      </c>
      <c r="D431" s="173">
        <f>+E431/C431</f>
        <v>14.9</v>
      </c>
      <c r="E431" s="174">
        <v>89.4</v>
      </c>
    </row>
    <row r="432" ht="14.5" spans="1:5">
      <c r="A432" s="170">
        <v>34000187</v>
      </c>
      <c r="B432" s="171" t="s">
        <v>418</v>
      </c>
      <c r="C432" s="172">
        <v>12</v>
      </c>
      <c r="D432" s="173">
        <v>14.9</v>
      </c>
      <c r="E432" s="174">
        <v>178.8</v>
      </c>
    </row>
    <row r="433" ht="14.5" spans="1:6">
      <c r="A433" s="170">
        <v>34000175</v>
      </c>
      <c r="B433" s="171" t="s">
        <v>419</v>
      </c>
      <c r="C433" s="172">
        <v>6</v>
      </c>
      <c r="D433" s="173">
        <v>18.3</v>
      </c>
      <c r="E433" s="174">
        <v>109.8</v>
      </c>
    </row>
    <row r="434" ht="14.5" spans="1:6">
      <c r="A434" s="170">
        <v>34000188</v>
      </c>
      <c r="B434" s="171" t="s">
        <v>420</v>
      </c>
      <c r="C434" s="172">
        <v>12</v>
      </c>
      <c r="D434" s="173">
        <v>18.3</v>
      </c>
      <c r="E434" s="174">
        <v>219.6</v>
      </c>
    </row>
    <row r="435" ht="14.5" spans="1:6">
      <c r="A435" s="170">
        <v>34000183</v>
      </c>
      <c r="B435" s="171" t="s">
        <v>140</v>
      </c>
      <c r="C435" s="172">
        <v>6</v>
      </c>
      <c r="D435" s="173">
        <f t="shared" ref="D435:D437" si="1">+E435/C435</f>
        <v>13.72</v>
      </c>
      <c r="E435" s="174">
        <v>82.32</v>
      </c>
    </row>
    <row r="436" ht="14.5" spans="1:6">
      <c r="A436" s="170">
        <v>34000176</v>
      </c>
      <c r="B436" s="171" t="s">
        <v>421</v>
      </c>
      <c r="C436" s="172">
        <v>6</v>
      </c>
      <c r="D436" s="173">
        <f t="shared" si="1"/>
        <v>18</v>
      </c>
      <c r="E436" s="174">
        <v>108</v>
      </c>
    </row>
    <row r="437" ht="14.5" spans="1:6">
      <c r="A437" s="170">
        <v>34000189</v>
      </c>
      <c r="B437" s="171" t="s">
        <v>422</v>
      </c>
      <c r="C437" s="172">
        <v>12</v>
      </c>
      <c r="D437" s="173">
        <f t="shared" si="1"/>
        <v>18</v>
      </c>
      <c r="E437" s="174">
        <f>+E436*2</f>
        <v>216</v>
      </c>
    </row>
    <row r="438" ht="14.5" spans="1:6">
      <c r="A438" s="170">
        <v>34000177</v>
      </c>
      <c r="B438" s="171" t="s">
        <v>423</v>
      </c>
      <c r="C438" s="172">
        <v>6</v>
      </c>
      <c r="D438" s="173">
        <v>22.3</v>
      </c>
      <c r="E438" s="174">
        <v>133.8</v>
      </c>
    </row>
    <row r="439" ht="14.5" spans="1:6">
      <c r="A439" s="170">
        <v>34000190</v>
      </c>
      <c r="B439" s="171" t="s">
        <v>424</v>
      </c>
      <c r="C439" s="172">
        <v>12</v>
      </c>
      <c r="D439" s="173">
        <v>22.3</v>
      </c>
      <c r="E439" s="174">
        <v>267.6</v>
      </c>
    </row>
    <row r="440" ht="14.5" spans="1:6">
      <c r="A440" s="170">
        <v>34000198</v>
      </c>
      <c r="B440" s="171" t="s">
        <v>425</v>
      </c>
      <c r="C440" s="172">
        <v>12</v>
      </c>
      <c r="D440" s="173">
        <v>21.4</v>
      </c>
      <c r="E440" s="174">
        <v>256.8</v>
      </c>
    </row>
    <row r="441" ht="14.5" spans="1:6">
      <c r="A441" s="170">
        <v>34000192</v>
      </c>
      <c r="B441" s="171" t="s">
        <v>426</v>
      </c>
      <c r="C441" s="172">
        <v>12</v>
      </c>
      <c r="D441" s="173">
        <v>26.4</v>
      </c>
      <c r="E441" s="174">
        <v>316.8</v>
      </c>
    </row>
    <row r="442" ht="14.5" spans="1:6">
      <c r="A442" s="170">
        <v>34000160</v>
      </c>
      <c r="B442" s="171" t="s">
        <v>427</v>
      </c>
      <c r="C442" s="172">
        <v>12</v>
      </c>
      <c r="D442" s="173">
        <v>13.7</v>
      </c>
      <c r="E442" s="174">
        <v>164.4</v>
      </c>
    </row>
    <row r="443" ht="14.5" spans="1:6">
      <c r="A443" s="170">
        <v>34000184</v>
      </c>
      <c r="B443" s="171" t="s">
        <v>428</v>
      </c>
      <c r="C443" s="172">
        <v>6</v>
      </c>
      <c r="D443" s="173">
        <v>16</v>
      </c>
      <c r="E443" s="174">
        <v>96</v>
      </c>
    </row>
    <row r="444" ht="14.5" spans="1:6">
      <c r="A444" s="170">
        <v>34000185</v>
      </c>
      <c r="B444" s="171" t="s">
        <v>429</v>
      </c>
      <c r="C444" s="172">
        <v>6</v>
      </c>
      <c r="D444" s="173">
        <v>21.4</v>
      </c>
      <c r="E444" s="174">
        <v>128.4</v>
      </c>
    </row>
    <row r="445" ht="14.5" spans="1:6">
      <c r="A445" s="170">
        <v>34000179</v>
      </c>
      <c r="B445" s="171" t="s">
        <v>430</v>
      </c>
      <c r="C445" s="172">
        <v>6</v>
      </c>
      <c r="D445" s="173">
        <v>26.4</v>
      </c>
      <c r="E445" s="174">
        <v>158.4</v>
      </c>
    </row>
    <row r="446" ht="13.25"/>
    <row r="447" s="110" customFormat="1" ht="10.5" spans="1:6">
      <c r="A447" s="176" t="s">
        <v>431</v>
      </c>
      <c r="B447" s="176"/>
      <c r="C447" s="177"/>
      <c r="D447" s="178"/>
      <c r="E447" s="177"/>
      <c r="F447" s="177"/>
    </row>
    <row r="448" s="110" customFormat="1" ht="10.5" spans="1:6">
      <c r="A448" s="179">
        <v>1</v>
      </c>
      <c r="B448" s="180" t="s">
        <v>432</v>
      </c>
      <c r="C448" s="177"/>
      <c r="D448" s="178"/>
      <c r="E448" s="177"/>
      <c r="F448" s="177"/>
    </row>
    <row r="449" s="110" customFormat="1" ht="10.5" spans="1:6">
      <c r="A449" s="179">
        <v>2</v>
      </c>
      <c r="B449" s="180" t="s">
        <v>433</v>
      </c>
      <c r="C449" s="177"/>
      <c r="D449" s="178"/>
      <c r="E449" s="177"/>
      <c r="F449" s="177"/>
    </row>
    <row r="450" s="110" customFormat="1" ht="10.5" spans="1:6">
      <c r="A450" s="179">
        <v>3</v>
      </c>
      <c r="B450" s="180" t="s">
        <v>434</v>
      </c>
      <c r="C450" s="177"/>
      <c r="D450" s="178"/>
      <c r="E450" s="177"/>
      <c r="F450" s="177"/>
    </row>
    <row r="451" s="110" customFormat="1" ht="10.5" spans="1:6">
      <c r="A451" s="179">
        <v>4</v>
      </c>
      <c r="B451" s="180" t="s">
        <v>435</v>
      </c>
      <c r="C451" s="177"/>
      <c r="D451" s="178"/>
      <c r="E451" s="177"/>
      <c r="F451" s="177"/>
    </row>
    <row r="452" s="110" customFormat="1" ht="10.5" spans="1:6">
      <c r="A452" s="179">
        <v>5</v>
      </c>
      <c r="B452" s="180" t="s">
        <v>436</v>
      </c>
      <c r="C452" s="177"/>
      <c r="D452" s="178"/>
      <c r="E452" s="177"/>
      <c r="F452" s="177"/>
    </row>
    <row r="453" s="110" customFormat="1" ht="10.5" spans="1:6">
      <c r="A453" s="179">
        <v>6</v>
      </c>
      <c r="B453" s="181" t="s">
        <v>437</v>
      </c>
      <c r="C453" s="182"/>
      <c r="D453" s="183"/>
      <c r="E453" s="182"/>
      <c r="F453" s="182"/>
    </row>
    <row r="454" s="110" customFormat="1" ht="10.5" spans="1:6">
      <c r="A454" s="179">
        <v>7</v>
      </c>
      <c r="B454" s="180" t="s">
        <v>438</v>
      </c>
      <c r="C454" s="177"/>
      <c r="D454" s="178"/>
      <c r="E454" s="177"/>
      <c r="F454" s="177"/>
    </row>
    <row r="455" s="110" customFormat="1" ht="10.5" spans="1:6">
      <c r="A455" s="177"/>
      <c r="B455" s="177"/>
      <c r="C455" s="177"/>
      <c r="D455" s="178"/>
      <c r="E455" s="177"/>
      <c r="F455" s="177"/>
    </row>
    <row r="456" s="110" customFormat="1" ht="10.5" spans="1:6">
      <c r="A456" s="184" t="s">
        <v>439</v>
      </c>
      <c r="B456" s="177"/>
      <c r="C456" s="177"/>
      <c r="D456" s="178"/>
      <c r="E456" s="177"/>
      <c r="F456" s="177"/>
    </row>
    <row r="457" s="110" customFormat="1" ht="10.5" spans="1:6">
      <c r="A457" s="184" t="s">
        <v>440</v>
      </c>
      <c r="B457" s="177"/>
      <c r="C457" s="177"/>
      <c r="D457" s="178"/>
      <c r="E457" s="177"/>
      <c r="F457" s="177"/>
    </row>
    <row r="458" s="110" customFormat="1" ht="10.5" spans="1:6">
      <c r="A458" s="184"/>
      <c r="B458" s="177"/>
      <c r="C458" s="177"/>
      <c r="D458" s="178"/>
      <c r="E458" s="177"/>
      <c r="F458" s="177"/>
    </row>
    <row r="459" s="110" customFormat="1" ht="10.5" spans="1:6">
      <c r="A459" s="184" t="s">
        <v>441</v>
      </c>
      <c r="B459" s="177"/>
      <c r="C459" s="177"/>
      <c r="D459" s="178"/>
      <c r="E459" s="177"/>
      <c r="F459" s="177"/>
    </row>
    <row r="460" s="110" customFormat="1" ht="10.5" spans="1:6">
      <c r="A460" s="184" t="s">
        <v>442</v>
      </c>
      <c r="B460" s="177"/>
      <c r="C460" s="177"/>
      <c r="D460" s="178"/>
      <c r="E460" s="177"/>
      <c r="F460" s="177"/>
    </row>
    <row r="461" s="110" customFormat="1" ht="10.5" spans="1:6">
      <c r="A461" s="184" t="s">
        <v>443</v>
      </c>
      <c r="B461" s="177"/>
      <c r="C461" s="177"/>
      <c r="D461" s="178"/>
      <c r="E461" s="177"/>
      <c r="F461" s="177"/>
    </row>
    <row r="462" s="110" customFormat="1" ht="10.5" spans="1:6">
      <c r="A462" s="184" t="s">
        <v>444</v>
      </c>
      <c r="B462" s="177"/>
      <c r="C462" s="177"/>
      <c r="D462" s="178"/>
      <c r="E462" s="177"/>
      <c r="F462" s="177"/>
    </row>
    <row r="463" s="110" customFormat="1" ht="10.5" spans="1:6">
      <c r="A463" s="184" t="s">
        <v>445</v>
      </c>
      <c r="B463" s="177"/>
      <c r="C463" s="177"/>
      <c r="D463" s="178"/>
      <c r="E463" s="177"/>
      <c r="F463" s="177"/>
    </row>
    <row r="464" s="110" customFormat="1" ht="10.5" spans="1:6">
      <c r="A464" s="184" t="s">
        <v>446</v>
      </c>
      <c r="B464" s="177"/>
      <c r="C464" s="177"/>
      <c r="D464" s="178"/>
      <c r="E464" s="177"/>
      <c r="F464" s="177"/>
    </row>
    <row r="465" s="110" customFormat="1" ht="10.5" spans="1:6">
      <c r="A465" s="184" t="s">
        <v>447</v>
      </c>
      <c r="B465" s="177"/>
      <c r="C465" s="177"/>
      <c r="D465" s="178"/>
      <c r="E465" s="177"/>
      <c r="F465" s="177"/>
    </row>
    <row r="466" s="110" customFormat="1" ht="10.5" spans="1:6">
      <c r="A466" s="184" t="s">
        <v>448</v>
      </c>
      <c r="B466" s="177"/>
      <c r="C466" s="177"/>
      <c r="D466" s="178"/>
      <c r="E466" s="177"/>
      <c r="F466" s="177"/>
    </row>
  </sheetData>
  <mergeCells count="82">
    <mergeCell ref="A1:E1"/>
    <mergeCell ref="A2:E2"/>
    <mergeCell ref="B11:E11"/>
    <mergeCell ref="A13:B13"/>
    <mergeCell ref="B30:C30"/>
    <mergeCell ref="B42:E42"/>
    <mergeCell ref="A44:B44"/>
    <mergeCell ref="B56:C56"/>
    <mergeCell ref="B74:E74"/>
    <mergeCell ref="B84:C84"/>
    <mergeCell ref="B91:E91"/>
    <mergeCell ref="A93:B93"/>
    <mergeCell ref="B101:C101"/>
    <mergeCell ref="B107:E107"/>
    <mergeCell ref="A109:B109"/>
    <mergeCell ref="B117:C117"/>
    <mergeCell ref="B129:E129"/>
    <mergeCell ref="A131:B131"/>
    <mergeCell ref="A134:C134"/>
    <mergeCell ref="B140:C140"/>
    <mergeCell ref="B151:E151"/>
    <mergeCell ref="A153:B153"/>
    <mergeCell ref="B161:C161"/>
    <mergeCell ref="B169:E169"/>
    <mergeCell ref="A171:B171"/>
    <mergeCell ref="B180:C180"/>
    <mergeCell ref="B193:E193"/>
    <mergeCell ref="A195:B195"/>
    <mergeCell ref="C195:D195"/>
    <mergeCell ref="B205:C205"/>
    <mergeCell ref="A212:E212"/>
    <mergeCell ref="B214:E214"/>
    <mergeCell ref="A219:C219"/>
    <mergeCell ref="B224:C224"/>
    <mergeCell ref="B237:E237"/>
    <mergeCell ref="A239:B239"/>
    <mergeCell ref="B259:E259"/>
    <mergeCell ref="A265:C265"/>
    <mergeCell ref="B273:E273"/>
    <mergeCell ref="A278:C278"/>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A302:B302"/>
    <mergeCell ref="C302:E302"/>
    <mergeCell ref="A304:B304"/>
    <mergeCell ref="B313:C313"/>
    <mergeCell ref="B318:E318"/>
    <mergeCell ref="B328:C328"/>
    <mergeCell ref="A334:E334"/>
    <mergeCell ref="B336:E336"/>
    <mergeCell ref="B346:C346"/>
    <mergeCell ref="B354:E354"/>
    <mergeCell ref="A376:B376"/>
    <mergeCell ref="C376:E376"/>
    <mergeCell ref="A378:B378"/>
    <mergeCell ref="A379:E379"/>
    <mergeCell ref="A380:E380"/>
    <mergeCell ref="A381:E381"/>
    <mergeCell ref="A382:E382"/>
    <mergeCell ref="A383:E383"/>
    <mergeCell ref="A384:E384"/>
    <mergeCell ref="A385:E385"/>
    <mergeCell ref="B387:C387"/>
    <mergeCell ref="A393:B393"/>
    <mergeCell ref="A395:B395"/>
    <mergeCell ref="B408:C408"/>
    <mergeCell ref="A416:F416"/>
    <mergeCell ref="A447:B447"/>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7"/>
  <sheetViews>
    <sheetView showGridLines="0" zoomScale="120" zoomScaleNormal="120" topLeftCell="A90" workbookViewId="0">
      <selection activeCell="A98" sqref="A98"/>
    </sheetView>
  </sheetViews>
  <sheetFormatPr defaultColWidth="11" defaultRowHeight="13"/>
  <cols>
    <col min="1" max="1" width="108.445454545455" style="2" customWidth="1"/>
    <col min="2" max="2" width="14.5545454545455" style="3" customWidth="1"/>
    <col min="3" max="3" width="17.5545454545455" style="3" customWidth="1"/>
    <col min="4" max="4" width="14.2181818181818" style="3" customWidth="1"/>
    <col min="5" max="5" width="15.4454545454545" style="4" customWidth="1"/>
    <col min="6" max="6" width="13.5545454545455" style="2" customWidth="1"/>
  </cols>
  <sheetData>
    <row r="1" ht="12.5" spans="1:5">
      <c r="A1" s="5" t="s">
        <v>449</v>
      </c>
      <c r="B1" s="5"/>
      <c r="C1" s="5"/>
      <c r="D1" s="5"/>
      <c r="E1" s="5"/>
    </row>
    <row r="2" ht="12.5" spans="1:5">
      <c r="A2" s="5" t="s">
        <v>450</v>
      </c>
      <c r="B2" s="5"/>
      <c r="C2" s="5"/>
      <c r="D2" s="5"/>
      <c r="E2" s="5"/>
    </row>
    <row r="3" spans="1:5">
      <c r="A3" s="6"/>
      <c r="B3" s="6"/>
      <c r="C3" s="6"/>
      <c r="D3" s="6"/>
      <c r="E3" s="7"/>
    </row>
    <row r="4" spans="1:5">
      <c r="A4" s="8" t="s">
        <v>451</v>
      </c>
      <c r="B4" s="9" t="s">
        <v>452</v>
      </c>
      <c r="C4" s="2"/>
      <c r="D4" s="6"/>
      <c r="E4" s="7"/>
    </row>
    <row r="5" spans="1:5">
      <c r="A5" s="8" t="s">
        <v>451</v>
      </c>
      <c r="B5" s="9" t="s">
        <v>206</v>
      </c>
      <c r="C5" s="2"/>
      <c r="D5" s="6"/>
      <c r="E5" s="7"/>
    </row>
    <row r="6" spans="1:5">
      <c r="A6" s="8" t="s">
        <v>451</v>
      </c>
      <c r="B6" s="9" t="s">
        <v>207</v>
      </c>
      <c r="C6" s="2"/>
      <c r="D6" s="6"/>
      <c r="E6" s="7"/>
    </row>
    <row r="7" spans="1:5">
      <c r="A7" s="8" t="s">
        <v>451</v>
      </c>
      <c r="B7" s="9" t="s">
        <v>453</v>
      </c>
      <c r="C7" s="2"/>
      <c r="D7" s="6"/>
      <c r="E7" s="7"/>
    </row>
    <row r="8" spans="1:5">
      <c r="A8" s="6"/>
      <c r="B8" s="6"/>
      <c r="C8" s="6"/>
      <c r="D8" s="6"/>
      <c r="E8" s="7"/>
    </row>
    <row r="9" ht="13.25" spans="1:5">
      <c r="A9" s="10"/>
      <c r="B9" s="6"/>
      <c r="C9" s="6"/>
      <c r="D9" s="6"/>
    </row>
    <row r="10" ht="14" spans="1:5">
      <c r="A10" s="11" t="s">
        <v>454</v>
      </c>
      <c r="B10" s="12" t="s">
        <v>455</v>
      </c>
      <c r="C10" s="12"/>
      <c r="D10" s="12"/>
      <c r="E10" s="12"/>
    </row>
    <row r="11" ht="13.75" spans="1:5">
      <c r="B11" s="2"/>
      <c r="C11" s="2"/>
      <c r="D11" s="2"/>
      <c r="E11" s="13"/>
    </row>
    <row r="12" spans="1:5">
      <c r="A12" s="14" t="s">
        <v>211</v>
      </c>
      <c r="B12" s="14"/>
      <c r="C12" s="14"/>
      <c r="D12" s="14"/>
      <c r="E12" s="15"/>
    </row>
    <row r="13" spans="1:5">
      <c r="A13" s="16" t="s">
        <v>456</v>
      </c>
      <c r="B13" s="16"/>
      <c r="C13" s="16"/>
      <c r="D13" s="16"/>
      <c r="E13" s="17"/>
    </row>
    <row r="14" spans="1:5">
      <c r="A14" s="16" t="s">
        <v>327</v>
      </c>
      <c r="B14" s="16"/>
      <c r="C14" s="16"/>
      <c r="D14" s="16"/>
      <c r="E14" s="17"/>
    </row>
    <row r="15" ht="37.5" customHeight="1" spans="1:5">
      <c r="A15" s="18" t="s">
        <v>457</v>
      </c>
      <c r="B15" s="18"/>
      <c r="C15" s="18"/>
      <c r="D15" s="19"/>
      <c r="E15" s="20"/>
    </row>
    <row r="16" spans="1:5">
      <c r="A16" s="19" t="s">
        <v>458</v>
      </c>
      <c r="B16" s="19"/>
      <c r="C16" s="19"/>
      <c r="D16" s="19"/>
      <c r="E16" s="20"/>
    </row>
    <row r="17" spans="1:6">
      <c r="A17" s="19" t="s">
        <v>459</v>
      </c>
      <c r="B17" s="19"/>
      <c r="C17" s="19"/>
      <c r="D17" s="19"/>
      <c r="E17" s="20"/>
    </row>
    <row r="18" spans="1:6">
      <c r="A18" s="19" t="s">
        <v>323</v>
      </c>
      <c r="B18" s="19"/>
      <c r="C18" s="19"/>
      <c r="D18" s="19"/>
      <c r="E18" s="20"/>
    </row>
    <row r="19" ht="13.25" spans="1:6">
      <c r="A19" s="19" t="s">
        <v>250</v>
      </c>
      <c r="B19" s="6"/>
      <c r="C19" s="6"/>
      <c r="D19" s="6"/>
    </row>
    <row r="20" ht="14.5" spans="1:6">
      <c r="A20" s="21" t="s">
        <v>227</v>
      </c>
      <c r="B20" s="22" t="s">
        <v>330</v>
      </c>
      <c r="C20" s="23"/>
      <c r="D20" s="24"/>
      <c r="E20" s="25"/>
      <c r="F20" s="3"/>
    </row>
    <row r="21" ht="14.5" spans="1:6">
      <c r="A21" s="21" t="s">
        <v>230</v>
      </c>
      <c r="B21" s="22" t="s">
        <v>230</v>
      </c>
      <c r="C21" s="23"/>
      <c r="D21" s="24"/>
      <c r="E21" s="25"/>
      <c r="F21" s="3"/>
    </row>
    <row r="22" ht="14.5" spans="1:6">
      <c r="A22" s="21">
        <v>0.6</v>
      </c>
      <c r="B22" s="22">
        <v>1200</v>
      </c>
      <c r="C22" s="23"/>
      <c r="D22" s="24"/>
      <c r="E22" s="26"/>
      <c r="F22" s="3"/>
    </row>
    <row r="23" ht="14.5" spans="1:6">
      <c r="A23" s="21">
        <v>0.73</v>
      </c>
      <c r="B23" s="22">
        <v>1200</v>
      </c>
      <c r="C23" s="23"/>
      <c r="D23" s="24"/>
      <c r="E23" s="26"/>
      <c r="F23" s="3"/>
    </row>
    <row r="24" ht="14.5" spans="1:6">
      <c r="A24" s="21">
        <v>0.78</v>
      </c>
      <c r="B24" s="22">
        <v>1200</v>
      </c>
      <c r="C24" s="23"/>
      <c r="D24" s="24"/>
      <c r="E24" s="26"/>
      <c r="F24" s="3"/>
    </row>
    <row r="25" ht="14.5" spans="1:6">
      <c r="A25" s="21">
        <v>0.85</v>
      </c>
      <c r="B25" s="22">
        <v>1200</v>
      </c>
      <c r="C25" s="23"/>
      <c r="D25" s="24"/>
      <c r="E25" s="26"/>
      <c r="F25" s="3"/>
    </row>
    <row r="26" ht="14.5" spans="1:6">
      <c r="A26" s="21">
        <v>1.12</v>
      </c>
      <c r="B26" s="22">
        <v>1200</v>
      </c>
      <c r="C26" s="23"/>
      <c r="D26" s="24"/>
      <c r="E26" s="26"/>
      <c r="F26" s="3"/>
    </row>
    <row r="27" ht="14.5" spans="1:6">
      <c r="A27" s="21">
        <v>1.4</v>
      </c>
      <c r="B27" s="22">
        <v>1200</v>
      </c>
      <c r="C27" s="23"/>
      <c r="D27" s="24"/>
      <c r="E27" s="26"/>
      <c r="F27" s="3"/>
    </row>
    <row r="28" ht="13.75" spans="1:6">
      <c r="A28" s="10" t="s">
        <v>238</v>
      </c>
      <c r="B28" s="6"/>
      <c r="C28" s="6"/>
      <c r="D28" s="6"/>
      <c r="E28" s="27"/>
      <c r="F28" s="3"/>
    </row>
    <row r="29" ht="13.25" spans="1:6">
      <c r="A29" s="10"/>
      <c r="B29" s="6"/>
      <c r="C29" s="6"/>
      <c r="D29" s="6"/>
      <c r="F29" s="3"/>
    </row>
    <row r="30" ht="14" spans="1:6">
      <c r="A30" s="11" t="s">
        <v>460</v>
      </c>
      <c r="B30" s="12" t="s">
        <v>461</v>
      </c>
      <c r="C30" s="12"/>
      <c r="D30" s="12"/>
      <c r="E30" s="12"/>
      <c r="F30" s="3"/>
    </row>
    <row r="31" ht="13.75" spans="1:6">
      <c r="A31" s="16"/>
      <c r="B31" s="16"/>
      <c r="C31" s="28"/>
      <c r="D31" s="28"/>
      <c r="E31" s="13"/>
      <c r="F31" s="3"/>
    </row>
    <row r="32" spans="1:6">
      <c r="A32" s="14" t="s">
        <v>211</v>
      </c>
      <c r="B32" s="28"/>
      <c r="C32" s="28"/>
      <c r="D32" s="28"/>
      <c r="E32" s="13"/>
      <c r="F32" s="3"/>
    </row>
    <row r="33" spans="1:6">
      <c r="A33" s="29" t="s">
        <v>462</v>
      </c>
      <c r="B33" s="29"/>
      <c r="C33" s="29"/>
      <c r="D33" s="29"/>
      <c r="E33" s="30"/>
      <c r="F33" s="3"/>
    </row>
    <row r="34" spans="1:6">
      <c r="A34" s="31" t="s">
        <v>463</v>
      </c>
      <c r="B34" s="31"/>
      <c r="C34" s="31"/>
      <c r="D34" s="31"/>
      <c r="E34" s="32"/>
      <c r="F34" s="3"/>
    </row>
    <row r="35" spans="1:6">
      <c r="A35" s="33" t="s">
        <v>464</v>
      </c>
      <c r="C35" s="29"/>
      <c r="D35" s="29"/>
      <c r="E35" s="30"/>
      <c r="F35" s="3"/>
    </row>
    <row r="36" spans="1:6">
      <c r="A36" s="29" t="s">
        <v>465</v>
      </c>
      <c r="B36" s="29"/>
      <c r="C36" s="29"/>
      <c r="D36" s="29"/>
      <c r="E36" s="30"/>
      <c r="F36" s="3"/>
    </row>
    <row r="37" spans="1:6">
      <c r="B37" s="29" t="s">
        <v>466</v>
      </c>
      <c r="C37" s="29"/>
      <c r="D37" s="29"/>
      <c r="E37" s="30"/>
      <c r="F37" s="3"/>
    </row>
    <row r="38" ht="13.75" spans="1:6">
      <c r="A38" s="19" t="s">
        <v>250</v>
      </c>
      <c r="B38" s="28"/>
      <c r="C38" s="28"/>
      <c r="D38" s="28"/>
      <c r="E38" s="13"/>
      <c r="F38" s="3"/>
    </row>
    <row r="39" ht="14.5" spans="1:6">
      <c r="A39" s="21" t="s">
        <v>227</v>
      </c>
      <c r="B39" s="22" t="s">
        <v>330</v>
      </c>
      <c r="C39" s="23"/>
      <c r="D39" s="24"/>
      <c r="E39" s="34"/>
      <c r="F39" s="3"/>
    </row>
    <row r="40" ht="14.5" spans="1:6">
      <c r="A40" s="35" t="s">
        <v>230</v>
      </c>
      <c r="B40" s="22" t="s">
        <v>230</v>
      </c>
      <c r="C40" s="23"/>
      <c r="D40" s="24"/>
      <c r="E40" s="36"/>
      <c r="F40" s="3"/>
    </row>
    <row r="41" ht="14.5" spans="1:6">
      <c r="A41" s="37">
        <v>1.88</v>
      </c>
      <c r="B41" s="22"/>
      <c r="C41" s="23">
        <v>1190</v>
      </c>
      <c r="D41" s="24"/>
      <c r="E41" s="38"/>
      <c r="F41" s="3">
        <v>1200</v>
      </c>
    </row>
    <row r="42" ht="14.5" spans="1:6">
      <c r="A42" s="37">
        <v>2.38</v>
      </c>
      <c r="B42" s="22"/>
      <c r="C42" s="23">
        <v>1200</v>
      </c>
      <c r="D42" s="24"/>
      <c r="E42" s="38"/>
      <c r="F42" s="3">
        <v>1200</v>
      </c>
    </row>
    <row r="43" ht="14.5" spans="1:6">
      <c r="A43" s="37">
        <v>2.85</v>
      </c>
      <c r="B43" s="22">
        <v>1200</v>
      </c>
      <c r="C43" s="23"/>
      <c r="D43" s="24"/>
      <c r="E43" s="38"/>
      <c r="F43" s="3">
        <v>1200</v>
      </c>
    </row>
    <row r="44" ht="14.5" spans="1:6">
      <c r="A44" s="39">
        <v>3.3</v>
      </c>
      <c r="B44" s="22"/>
      <c r="C44" s="23">
        <v>1200</v>
      </c>
      <c r="D44" s="24"/>
      <c r="E44" s="38"/>
      <c r="F44" s="3">
        <v>1200</v>
      </c>
    </row>
    <row r="45" ht="14.5" spans="1:6">
      <c r="A45" s="37">
        <v>3.5</v>
      </c>
      <c r="B45" s="22">
        <v>1200</v>
      </c>
      <c r="C45" s="23"/>
      <c r="D45" s="24"/>
      <c r="E45" s="40"/>
      <c r="F45" s="3">
        <v>1200</v>
      </c>
    </row>
    <row r="46" ht="14.5" spans="1:6">
      <c r="A46" s="37">
        <v>3.85</v>
      </c>
      <c r="B46" s="22">
        <v>1100</v>
      </c>
      <c r="C46" s="23"/>
      <c r="D46" s="24"/>
      <c r="E46" s="40"/>
      <c r="F46" s="3">
        <v>1100</v>
      </c>
    </row>
    <row r="47" ht="14.5" spans="1:6">
      <c r="A47" s="37">
        <v>4.35</v>
      </c>
      <c r="B47" s="22">
        <v>1200</v>
      </c>
      <c r="C47" s="23"/>
      <c r="D47" s="24"/>
      <c r="E47" s="40"/>
      <c r="F47" s="3">
        <v>1200</v>
      </c>
    </row>
    <row r="48" ht="14.5" spans="1:6">
      <c r="A48" s="37">
        <v>4.8</v>
      </c>
      <c r="B48" s="22">
        <v>1100</v>
      </c>
      <c r="C48" s="23"/>
      <c r="D48" s="24"/>
      <c r="E48" s="40"/>
      <c r="F48" s="3">
        <v>1100</v>
      </c>
    </row>
    <row r="49" ht="14.5" spans="1:6">
      <c r="A49" s="37">
        <v>5.5</v>
      </c>
      <c r="B49" s="22">
        <v>1500</v>
      </c>
      <c r="C49" s="23"/>
      <c r="D49" s="24"/>
      <c r="E49" s="40"/>
      <c r="F49" s="3">
        <v>1500</v>
      </c>
    </row>
    <row r="50" ht="13.75" spans="1:6">
      <c r="A50" s="29" t="s">
        <v>238</v>
      </c>
      <c r="B50" s="28"/>
      <c r="C50" s="28"/>
      <c r="D50" s="28"/>
      <c r="E50" s="41"/>
      <c r="F50" s="3"/>
    </row>
    <row r="51" ht="13.75" spans="1:6">
      <c r="A51" s="29"/>
      <c r="B51" s="28"/>
      <c r="C51" s="28"/>
      <c r="D51" s="28"/>
      <c r="E51" s="41"/>
      <c r="F51" s="3"/>
    </row>
    <row r="52" ht="14" spans="1:6">
      <c r="A52" s="11" t="s">
        <v>467</v>
      </c>
      <c r="B52" s="12" t="s">
        <v>461</v>
      </c>
      <c r="C52" s="12"/>
      <c r="D52" s="12"/>
      <c r="E52" s="12"/>
      <c r="F52" s="3"/>
    </row>
    <row r="53" ht="13.75" spans="1:6">
      <c r="A53" s="16"/>
      <c r="B53" s="16"/>
      <c r="C53" s="28"/>
      <c r="D53" s="28"/>
      <c r="E53" s="13"/>
      <c r="F53" s="3"/>
    </row>
    <row r="54" spans="1:6">
      <c r="A54" s="14" t="s">
        <v>211</v>
      </c>
      <c r="B54" s="28"/>
      <c r="C54" s="28"/>
      <c r="D54" s="28"/>
      <c r="E54" s="13"/>
      <c r="F54" s="3"/>
    </row>
    <row r="55" spans="1:6">
      <c r="A55" s="29" t="s">
        <v>462</v>
      </c>
      <c r="B55" s="29"/>
      <c r="C55" s="29"/>
      <c r="D55" s="29"/>
      <c r="E55" s="30"/>
      <c r="F55" s="3"/>
    </row>
    <row r="56" spans="1:6">
      <c r="A56" s="33" t="s">
        <v>463</v>
      </c>
      <c r="B56" s="31"/>
      <c r="C56" s="31"/>
      <c r="D56" s="31"/>
      <c r="E56" s="32"/>
      <c r="F56" s="3"/>
    </row>
    <row r="57" spans="1:6">
      <c r="A57" s="31" t="s">
        <v>464</v>
      </c>
      <c r="C57" s="29"/>
      <c r="D57" s="29"/>
      <c r="E57" s="30"/>
      <c r="F57" s="3"/>
    </row>
    <row r="58" spans="1:6">
      <c r="A58" s="29" t="s">
        <v>465</v>
      </c>
      <c r="B58" s="29"/>
      <c r="C58" s="29"/>
      <c r="D58" s="29"/>
      <c r="E58" s="30"/>
      <c r="F58" s="3"/>
    </row>
    <row r="59" spans="1:6">
      <c r="A59" s="29" t="s">
        <v>466</v>
      </c>
      <c r="B59" s="29"/>
      <c r="C59" s="29"/>
      <c r="D59" s="29"/>
      <c r="E59" s="30"/>
      <c r="F59" s="3"/>
    </row>
    <row r="60" ht="13.75" spans="1:6">
      <c r="A60" s="19" t="s">
        <v>250</v>
      </c>
      <c r="B60" s="28"/>
      <c r="C60" s="28"/>
      <c r="D60" s="28"/>
      <c r="E60" s="13"/>
      <c r="F60" s="3"/>
    </row>
    <row r="61" ht="14.5" spans="1:6">
      <c r="A61" s="21" t="s">
        <v>227</v>
      </c>
      <c r="B61" s="22" t="s">
        <v>330</v>
      </c>
      <c r="C61" s="23"/>
      <c r="D61" s="24"/>
      <c r="E61" s="34"/>
      <c r="F61" s="3"/>
    </row>
    <row r="62" ht="14.5" spans="1:6">
      <c r="A62" s="35" t="s">
        <v>230</v>
      </c>
      <c r="B62" s="22" t="s">
        <v>230</v>
      </c>
      <c r="C62" s="23"/>
      <c r="D62" s="24"/>
      <c r="E62" s="36"/>
      <c r="F62" s="3"/>
    </row>
    <row r="63" ht="14.5" spans="1:6">
      <c r="A63" s="37">
        <v>1.4</v>
      </c>
      <c r="B63" s="22"/>
      <c r="C63" s="23">
        <v>1200</v>
      </c>
      <c r="D63" s="24"/>
      <c r="E63" s="38"/>
      <c r="F63" s="3"/>
    </row>
    <row r="64" ht="14.5" spans="1:6">
      <c r="A64" s="37">
        <v>1.7</v>
      </c>
      <c r="B64" s="22"/>
      <c r="C64" s="23">
        <v>1200</v>
      </c>
      <c r="D64" s="24"/>
      <c r="E64" s="38"/>
      <c r="F64" s="3"/>
    </row>
    <row r="65" ht="13.75" spans="1:6">
      <c r="A65" s="29" t="s">
        <v>238</v>
      </c>
      <c r="B65" s="28"/>
      <c r="C65" s="28"/>
      <c r="D65" s="28"/>
      <c r="E65" s="41"/>
      <c r="F65" s="3"/>
    </row>
    <row r="66" spans="1:6">
      <c r="A66" s="29"/>
      <c r="B66" s="28"/>
      <c r="C66" s="28"/>
      <c r="D66" s="28"/>
      <c r="E66" s="41"/>
      <c r="F66" s="3"/>
    </row>
    <row r="67" ht="13.25" spans="1:6">
      <c r="A67" s="10"/>
      <c r="B67" s="6"/>
      <c r="C67" s="6"/>
      <c r="D67" s="6"/>
      <c r="F67" s="3"/>
    </row>
    <row r="68" ht="14.5" spans="1:6">
      <c r="A68" s="42" t="s">
        <v>468</v>
      </c>
      <c r="B68" s="43" t="s">
        <v>371</v>
      </c>
      <c r="C68" s="43"/>
      <c r="D68" s="43"/>
      <c r="E68" s="44"/>
      <c r="F68" s="3"/>
    </row>
    <row r="69" ht="13.75" spans="1:6">
      <c r="A69" s="45"/>
      <c r="B69" s="45"/>
      <c r="C69" s="46"/>
      <c r="D69" s="46"/>
      <c r="E69" s="47"/>
      <c r="F69" s="3"/>
    </row>
    <row r="70" spans="1:6">
      <c r="A70" s="15" t="s">
        <v>211</v>
      </c>
      <c r="B70" s="45"/>
      <c r="C70" s="46"/>
      <c r="D70" s="46"/>
      <c r="E70" s="47"/>
      <c r="F70" s="3"/>
    </row>
    <row r="71" spans="1:6">
      <c r="A71" s="29" t="s">
        <v>469</v>
      </c>
      <c r="B71" s="29"/>
      <c r="C71" s="29"/>
      <c r="D71" s="29"/>
      <c r="E71" s="30"/>
      <c r="F71" s="3"/>
    </row>
    <row r="72" spans="1:6">
      <c r="A72" s="2" t="s">
        <v>470</v>
      </c>
      <c r="C72" s="29"/>
      <c r="D72" s="29"/>
      <c r="E72" s="30"/>
      <c r="F72" s="3"/>
    </row>
    <row r="73" spans="1:6">
      <c r="A73" s="48" t="s">
        <v>465</v>
      </c>
      <c r="B73" s="29"/>
      <c r="C73" s="29"/>
      <c r="D73" s="29"/>
      <c r="E73" s="30"/>
      <c r="F73" s="3"/>
    </row>
    <row r="74" spans="1:6">
      <c r="A74" s="29" t="s">
        <v>466</v>
      </c>
      <c r="B74" s="10"/>
      <c r="C74" s="28"/>
      <c r="D74" s="28"/>
      <c r="E74" s="13"/>
      <c r="F74" s="3"/>
    </row>
    <row r="75" ht="13.75" spans="1:6">
      <c r="A75" s="19" t="s">
        <v>250</v>
      </c>
      <c r="B75" s="2"/>
      <c r="C75" s="2"/>
      <c r="D75" s="2"/>
      <c r="E75" s="13"/>
      <c r="F75" s="3"/>
    </row>
    <row r="76" ht="14.5" spans="1:6">
      <c r="A76" s="49" t="s">
        <v>374</v>
      </c>
      <c r="B76" s="50" t="s">
        <v>229</v>
      </c>
      <c r="C76" s="50" t="s">
        <v>375</v>
      </c>
      <c r="D76" s="2"/>
      <c r="E76" s="25"/>
      <c r="F76" s="3"/>
    </row>
    <row r="77" ht="14.5" spans="1:6">
      <c r="A77" s="51" t="s">
        <v>230</v>
      </c>
      <c r="B77" s="52" t="s">
        <v>230</v>
      </c>
      <c r="C77" s="52"/>
      <c r="D77" s="2"/>
      <c r="E77" s="53"/>
      <c r="F77" s="3"/>
    </row>
    <row r="78" ht="14.5" spans="1:6">
      <c r="A78" s="54">
        <v>2</v>
      </c>
      <c r="B78" s="52">
        <v>1200</v>
      </c>
      <c r="C78" s="52" t="s">
        <v>471</v>
      </c>
      <c r="D78" s="2"/>
      <c r="E78" s="55"/>
      <c r="F78" s="3"/>
    </row>
    <row r="79" ht="14.5" spans="1:6">
      <c r="A79" s="54">
        <v>2</v>
      </c>
      <c r="B79" s="52">
        <v>1200</v>
      </c>
      <c r="C79" s="52" t="s">
        <v>472</v>
      </c>
      <c r="D79" s="2"/>
      <c r="E79" s="55"/>
      <c r="F79" s="3"/>
    </row>
    <row r="80" ht="14.5" spans="1:6">
      <c r="A80" s="51">
        <v>2.5</v>
      </c>
      <c r="B80" s="52">
        <v>1200</v>
      </c>
      <c r="C80" s="52" t="s">
        <v>471</v>
      </c>
      <c r="D80" s="2"/>
      <c r="E80" s="40"/>
      <c r="F80" s="3"/>
    </row>
    <row r="81" ht="14.5" spans="1:6">
      <c r="A81" s="51">
        <v>2.4</v>
      </c>
      <c r="B81" s="52">
        <v>1200</v>
      </c>
      <c r="C81" s="52" t="s">
        <v>472</v>
      </c>
      <c r="D81" s="2"/>
      <c r="E81" s="40"/>
      <c r="F81" s="3"/>
    </row>
    <row r="82" ht="14.5" spans="1:6">
      <c r="A82" s="51">
        <v>3</v>
      </c>
      <c r="B82" s="52">
        <v>1200</v>
      </c>
      <c r="C82" s="52" t="s">
        <v>471</v>
      </c>
      <c r="D82" s="2"/>
      <c r="E82" s="40"/>
      <c r="F82" s="3"/>
    </row>
    <row r="83" ht="14.5" spans="1:6">
      <c r="A83" s="51">
        <v>3</v>
      </c>
      <c r="B83" s="52">
        <v>1200</v>
      </c>
      <c r="C83" s="52" t="s">
        <v>472</v>
      </c>
      <c r="D83" s="2"/>
      <c r="E83" s="40"/>
      <c r="F83" s="3"/>
    </row>
    <row r="84" ht="14.5" spans="1:6">
      <c r="A84" s="51">
        <v>3.5</v>
      </c>
      <c r="B84" s="52">
        <v>1200</v>
      </c>
      <c r="C84" s="52" t="s">
        <v>471</v>
      </c>
      <c r="D84" s="2"/>
      <c r="E84" s="40"/>
      <c r="F84" s="3"/>
    </row>
    <row r="85" ht="14.5" spans="1:6">
      <c r="A85" s="51">
        <v>4</v>
      </c>
      <c r="B85" s="52">
        <v>1200</v>
      </c>
      <c r="C85" s="52" t="s">
        <v>471</v>
      </c>
      <c r="D85" s="2"/>
      <c r="E85" s="40"/>
      <c r="F85" s="3"/>
    </row>
    <row r="86" ht="14.5" spans="1:6">
      <c r="A86" s="51">
        <v>4</v>
      </c>
      <c r="B86" s="52">
        <v>1200</v>
      </c>
      <c r="C86" s="52" t="s">
        <v>472</v>
      </c>
      <c r="D86" s="2"/>
      <c r="E86" s="40"/>
      <c r="F86" s="3"/>
    </row>
    <row r="87" ht="14.5" spans="1:6">
      <c r="A87" s="51">
        <v>4</v>
      </c>
      <c r="B87" s="52">
        <v>1200</v>
      </c>
      <c r="C87" s="52" t="s">
        <v>473</v>
      </c>
      <c r="D87" s="2"/>
      <c r="E87" s="40"/>
      <c r="F87" s="3"/>
    </row>
    <row r="88" ht="14.5" spans="1:6">
      <c r="A88" s="56">
        <v>5</v>
      </c>
      <c r="B88" s="52">
        <v>1200</v>
      </c>
      <c r="C88" s="52" t="s">
        <v>471</v>
      </c>
      <c r="D88" s="2"/>
      <c r="E88" s="40"/>
      <c r="F88" s="3"/>
    </row>
    <row r="89" ht="14.5" spans="1:6">
      <c r="A89" s="56">
        <v>5</v>
      </c>
      <c r="B89" s="52">
        <v>1200</v>
      </c>
      <c r="C89" s="52" t="s">
        <v>472</v>
      </c>
      <c r="D89" s="2"/>
      <c r="E89" s="40"/>
      <c r="F89" s="3"/>
    </row>
    <row r="90" ht="13.75" spans="1:6">
      <c r="B90" s="2"/>
      <c r="C90" s="2"/>
      <c r="D90" s="2"/>
      <c r="E90" s="41"/>
      <c r="F90" s="3"/>
    </row>
    <row r="91" ht="13.25" spans="1:6">
      <c r="A91" s="10"/>
      <c r="B91" s="6"/>
      <c r="C91" s="6"/>
      <c r="D91" s="6"/>
      <c r="F91" s="3"/>
    </row>
    <row r="92" ht="14" spans="1:6">
      <c r="A92" s="11" t="s">
        <v>474</v>
      </c>
      <c r="B92" s="12" t="s">
        <v>306</v>
      </c>
      <c r="C92" s="12"/>
      <c r="D92" s="12"/>
      <c r="E92" s="12"/>
      <c r="F92" s="3"/>
    </row>
    <row r="93" ht="13.25" spans="1:6">
      <c r="A93" s="14" t="s">
        <v>211</v>
      </c>
      <c r="B93" s="6"/>
      <c r="C93" s="6"/>
      <c r="D93" s="6"/>
      <c r="F93" s="57"/>
    </row>
    <row r="94" spans="1:6">
      <c r="A94" s="58" t="s">
        <v>475</v>
      </c>
      <c r="B94" s="58"/>
      <c r="C94" s="58"/>
      <c r="D94" s="58"/>
      <c r="E94" s="59"/>
      <c r="F94" s="60"/>
    </row>
    <row r="95" spans="1:6">
      <c r="A95" s="61" t="s">
        <v>476</v>
      </c>
      <c r="B95" s="58"/>
      <c r="C95" s="58"/>
      <c r="D95" s="58"/>
      <c r="E95" s="59"/>
      <c r="F95" s="60"/>
    </row>
    <row r="96" spans="1:6">
      <c r="A96" s="62" t="s">
        <v>477</v>
      </c>
      <c r="F96" s="60"/>
    </row>
    <row r="97" ht="15" customHeight="1" spans="1:6">
      <c r="A97" s="58" t="s">
        <v>478</v>
      </c>
      <c r="B97" s="58"/>
      <c r="C97" s="58"/>
      <c r="D97" s="58"/>
      <c r="E97" s="59"/>
      <c r="F97" s="60"/>
    </row>
    <row r="98" ht="17.25" customHeight="1" spans="1:6">
      <c r="A98" s="63" t="s">
        <v>479</v>
      </c>
      <c r="B98" s="63"/>
      <c r="C98" s="63"/>
      <c r="D98" s="58"/>
      <c r="E98" s="59"/>
      <c r="F98" s="60"/>
    </row>
    <row r="99" ht="15.75" customHeight="1" spans="1:6">
      <c r="A99" s="58"/>
      <c r="B99" s="58"/>
      <c r="C99" s="58"/>
      <c r="D99" s="58"/>
      <c r="E99" s="59"/>
      <c r="F99" s="60"/>
    </row>
    <row r="100" ht="42" customHeight="1" spans="1:6">
      <c r="A100" s="19" t="s">
        <v>250</v>
      </c>
      <c r="B100" s="6"/>
      <c r="C100" s="6"/>
      <c r="D100" s="6"/>
      <c r="F100" s="3"/>
    </row>
    <row r="101" ht="14.5" spans="1:6">
      <c r="A101" s="21" t="s">
        <v>227</v>
      </c>
      <c r="B101" s="21" t="s">
        <v>228</v>
      </c>
      <c r="C101" s="21"/>
      <c r="D101" s="21" t="s">
        <v>229</v>
      </c>
      <c r="E101" s="25"/>
      <c r="F101" s="3"/>
    </row>
    <row r="102" ht="14.5" spans="1:6">
      <c r="A102" s="21" t="s">
        <v>230</v>
      </c>
      <c r="B102" s="21" t="s">
        <v>231</v>
      </c>
      <c r="C102" s="21" t="s">
        <v>232</v>
      </c>
      <c r="D102" s="21" t="s">
        <v>230</v>
      </c>
      <c r="E102" s="25"/>
      <c r="F102" s="3"/>
    </row>
    <row r="103" ht="14.5" spans="1:6">
      <c r="A103" s="21" t="s">
        <v>480</v>
      </c>
      <c r="B103" s="21" t="s">
        <v>235</v>
      </c>
      <c r="C103" s="21" t="s">
        <v>235</v>
      </c>
      <c r="D103" s="21">
        <v>1085</v>
      </c>
      <c r="E103" s="40"/>
      <c r="F103" s="3"/>
    </row>
    <row r="104" ht="14.5" spans="1:6">
      <c r="A104" s="21">
        <v>0.42</v>
      </c>
      <c r="B104" s="21" t="s">
        <v>235</v>
      </c>
      <c r="C104" s="21" t="s">
        <v>235</v>
      </c>
      <c r="D104" s="21">
        <v>1200</v>
      </c>
      <c r="E104" s="40"/>
      <c r="F104" s="3"/>
    </row>
    <row r="105" ht="14.5" spans="1:6">
      <c r="A105" s="21">
        <v>0.85</v>
      </c>
      <c r="B105" s="21" t="s">
        <v>235</v>
      </c>
      <c r="C105" s="64" t="s">
        <v>235</v>
      </c>
      <c r="D105" s="21">
        <v>1200</v>
      </c>
      <c r="E105" s="40"/>
      <c r="F105" s="3"/>
    </row>
    <row r="106" ht="14.5" spans="1:6">
      <c r="A106" s="21">
        <v>1.12</v>
      </c>
      <c r="B106" s="21" t="s">
        <v>235</v>
      </c>
      <c r="C106" s="21" t="s">
        <v>235</v>
      </c>
      <c r="D106" s="21">
        <v>1200</v>
      </c>
      <c r="E106" s="40"/>
      <c r="F106" s="3"/>
    </row>
    <row r="107" ht="14.5" spans="1:6">
      <c r="A107" s="65">
        <v>1.4</v>
      </c>
      <c r="B107" s="21" t="s">
        <v>235</v>
      </c>
      <c r="C107" s="21" t="s">
        <v>235</v>
      </c>
      <c r="D107" s="21">
        <v>1200</v>
      </c>
      <c r="E107" s="40"/>
      <c r="F107" s="3"/>
    </row>
    <row r="108" ht="14.5" spans="1:6">
      <c r="A108" s="65">
        <v>1.7</v>
      </c>
      <c r="B108" s="21" t="s">
        <v>235</v>
      </c>
      <c r="C108" s="21" t="s">
        <v>235</v>
      </c>
      <c r="D108" s="21">
        <v>1200</v>
      </c>
      <c r="E108" s="40"/>
      <c r="F108" s="3"/>
    </row>
    <row r="109" ht="14.5" spans="1:6">
      <c r="A109" s="66">
        <v>1.85</v>
      </c>
      <c r="B109" s="21" t="s">
        <v>235</v>
      </c>
      <c r="C109" s="21" t="s">
        <v>235</v>
      </c>
      <c r="D109" s="21">
        <v>1200</v>
      </c>
      <c r="E109" s="40"/>
      <c r="F109" s="3"/>
    </row>
    <row r="110" ht="14.5" spans="1:6">
      <c r="A110" s="65">
        <v>1.9</v>
      </c>
      <c r="B110" s="21" t="s">
        <v>235</v>
      </c>
      <c r="C110" s="21" t="s">
        <v>235</v>
      </c>
      <c r="D110" s="21">
        <v>1200</v>
      </c>
      <c r="E110" s="40"/>
      <c r="F110" s="3"/>
    </row>
    <row r="111" ht="14.5" spans="1:6">
      <c r="A111" s="65">
        <v>2.4</v>
      </c>
      <c r="B111" s="21" t="s">
        <v>235</v>
      </c>
      <c r="C111" s="21" t="s">
        <v>235</v>
      </c>
      <c r="D111" s="21">
        <v>1200</v>
      </c>
      <c r="E111" s="40"/>
      <c r="F111" s="3"/>
    </row>
    <row r="112" ht="14.5" spans="1:6">
      <c r="A112" s="65">
        <v>2.9</v>
      </c>
      <c r="B112" s="21" t="s">
        <v>235</v>
      </c>
      <c r="C112" s="21" t="s">
        <v>235</v>
      </c>
      <c r="D112" s="21">
        <v>1200</v>
      </c>
      <c r="E112" s="40"/>
      <c r="F112" s="3"/>
    </row>
    <row r="113" ht="14" spans="1:6">
      <c r="A113" s="3"/>
      <c r="F113" s="3"/>
    </row>
    <row r="114" ht="14" spans="1:6">
      <c r="A114" s="11" t="s">
        <v>481</v>
      </c>
      <c r="B114" s="12" t="s">
        <v>306</v>
      </c>
      <c r="C114" s="12"/>
      <c r="D114" s="12"/>
      <c r="E114" s="12"/>
      <c r="F114" s="3"/>
    </row>
    <row r="115" ht="13.75" spans="1:6">
      <c r="A115" s="67"/>
      <c r="B115" s="68"/>
      <c r="C115" s="68"/>
      <c r="D115" s="68"/>
      <c r="E115" s="69"/>
      <c r="F115" s="3"/>
    </row>
    <row r="116" spans="1:6">
      <c r="A116" s="70" t="s">
        <v>211</v>
      </c>
      <c r="B116" s="70"/>
      <c r="C116" s="6"/>
      <c r="D116" s="6"/>
      <c r="F116" s="3"/>
    </row>
    <row r="117" ht="12.5" spans="1:6">
      <c r="A117" s="61" t="s">
        <v>482</v>
      </c>
      <c r="B117" s="61"/>
      <c r="C117" s="61"/>
      <c r="D117" s="61"/>
      <c r="E117" s="61"/>
      <c r="F117" s="3"/>
    </row>
    <row r="118" spans="1:6">
      <c r="A118" s="61" t="s">
        <v>483</v>
      </c>
      <c r="B118" s="58"/>
      <c r="C118" s="58"/>
      <c r="D118" s="19"/>
      <c r="E118" s="59"/>
      <c r="F118" s="3"/>
    </row>
    <row r="119" spans="1:6">
      <c r="A119" s="71" t="s">
        <v>477</v>
      </c>
      <c r="D119" s="19"/>
      <c r="F119" s="3"/>
    </row>
    <row r="120" spans="1:6">
      <c r="A120" s="58" t="s">
        <v>478</v>
      </c>
      <c r="B120" s="58"/>
      <c r="C120" s="58"/>
      <c r="D120" s="19"/>
      <c r="E120" s="59"/>
      <c r="F120" s="3"/>
    </row>
    <row r="121" spans="1:6">
      <c r="A121" s="63" t="s">
        <v>484</v>
      </c>
      <c r="B121" s="63"/>
      <c r="C121" s="63"/>
      <c r="D121" s="19"/>
      <c r="E121" s="59"/>
      <c r="F121" s="3"/>
    </row>
    <row r="122" spans="1:6">
      <c r="A122" s="58" t="s">
        <v>485</v>
      </c>
      <c r="B122" s="58"/>
      <c r="C122" s="58"/>
      <c r="D122" s="2"/>
      <c r="E122" s="13"/>
    </row>
    <row r="123" ht="48.6" customHeight="1" spans="1:6">
      <c r="A123" s="19" t="s">
        <v>250</v>
      </c>
      <c r="B123" s="58"/>
      <c r="C123" s="58"/>
      <c r="D123" s="2"/>
      <c r="E123" s="13"/>
    </row>
    <row r="124" ht="14.5" spans="1:6">
      <c r="A124" s="21" t="s">
        <v>227</v>
      </c>
      <c r="B124" s="21" t="s">
        <v>228</v>
      </c>
      <c r="C124" s="21"/>
      <c r="D124" s="21" t="s">
        <v>229</v>
      </c>
      <c r="E124" s="25"/>
    </row>
    <row r="125" ht="14.5" spans="1:6">
      <c r="A125" s="21" t="s">
        <v>230</v>
      </c>
      <c r="B125" s="21" t="s">
        <v>231</v>
      </c>
      <c r="C125" s="21" t="s">
        <v>232</v>
      </c>
      <c r="D125" s="21" t="s">
        <v>230</v>
      </c>
      <c r="E125" s="25"/>
      <c r="F125" s="3"/>
    </row>
    <row r="126" ht="14.5" spans="1:6">
      <c r="A126" s="21">
        <v>0.78</v>
      </c>
      <c r="B126" s="21" t="s">
        <v>235</v>
      </c>
      <c r="C126" s="21" t="s">
        <v>235</v>
      </c>
      <c r="D126" s="21">
        <v>1219</v>
      </c>
      <c r="E126" s="40"/>
      <c r="F126" s="3"/>
    </row>
    <row r="127" ht="14.5" spans="1:6">
      <c r="A127" s="21">
        <v>1.45</v>
      </c>
      <c r="B127" s="21" t="s">
        <v>235</v>
      </c>
      <c r="C127" s="21" t="s">
        <v>235</v>
      </c>
      <c r="D127" s="21" t="s">
        <v>486</v>
      </c>
      <c r="E127" s="40"/>
      <c r="F127" s="3"/>
    </row>
    <row r="128" ht="14.5" spans="1:6">
      <c r="A128" s="65">
        <v>1.9</v>
      </c>
      <c r="B128" s="21" t="s">
        <v>235</v>
      </c>
      <c r="C128" s="21" t="s">
        <v>235</v>
      </c>
      <c r="D128" s="21">
        <v>1200</v>
      </c>
      <c r="E128" s="40"/>
      <c r="F128" s="3"/>
    </row>
    <row r="129" ht="14.5" spans="1:6">
      <c r="A129" s="65">
        <v>2.4</v>
      </c>
      <c r="B129" s="21" t="s">
        <v>235</v>
      </c>
      <c r="C129" s="21" t="s">
        <v>235</v>
      </c>
      <c r="D129" s="21">
        <v>1200</v>
      </c>
      <c r="E129" s="40"/>
      <c r="F129" s="3"/>
    </row>
    <row r="130" ht="14.5" spans="1:6">
      <c r="A130" s="65">
        <v>2.9</v>
      </c>
      <c r="B130" s="21" t="s">
        <v>235</v>
      </c>
      <c r="C130" s="21" t="s">
        <v>235</v>
      </c>
      <c r="D130" s="21">
        <v>1200</v>
      </c>
      <c r="E130" s="40"/>
      <c r="F130" s="3"/>
    </row>
    <row r="131" ht="13.75" spans="1:6">
      <c r="A131" s="10" t="s">
        <v>238</v>
      </c>
      <c r="B131" s="6"/>
      <c r="C131" s="6"/>
      <c r="D131" s="6"/>
      <c r="E131" s="27"/>
      <c r="F131" s="3"/>
    </row>
    <row r="132" ht="13.75" spans="1:6">
      <c r="A132" s="10"/>
      <c r="B132" s="6"/>
      <c r="C132" s="6"/>
      <c r="D132" s="6"/>
      <c r="E132" s="27"/>
      <c r="F132" s="3"/>
    </row>
    <row r="133" ht="14" spans="1:6">
      <c r="A133" s="11" t="s">
        <v>487</v>
      </c>
      <c r="B133" s="12" t="s">
        <v>240</v>
      </c>
      <c r="C133" s="12"/>
      <c r="D133" s="12"/>
      <c r="E133" s="72"/>
      <c r="F133" s="3"/>
    </row>
    <row r="134" ht="13.25" spans="1:6">
      <c r="A134" s="16"/>
      <c r="B134" s="16"/>
      <c r="C134" s="6"/>
      <c r="D134" s="6"/>
      <c r="F134" s="3"/>
    </row>
    <row r="135" spans="1:6">
      <c r="A135" s="14" t="s">
        <v>211</v>
      </c>
      <c r="B135" s="6"/>
      <c r="C135" s="6"/>
      <c r="D135" s="6"/>
      <c r="F135" s="3"/>
    </row>
    <row r="136" spans="1:6">
      <c r="A136" s="19" t="s">
        <v>488</v>
      </c>
      <c r="B136" s="19"/>
      <c r="C136" s="19"/>
      <c r="D136" s="19"/>
      <c r="E136" s="20"/>
    </row>
    <row r="137" spans="1:6">
      <c r="A137" s="19" t="s">
        <v>489</v>
      </c>
      <c r="B137" s="19"/>
      <c r="C137" s="19"/>
      <c r="D137" s="19"/>
      <c r="E137" s="20"/>
    </row>
    <row r="138" spans="1:6">
      <c r="A138" s="19" t="s">
        <v>490</v>
      </c>
      <c r="B138" s="19"/>
      <c r="C138" s="19"/>
      <c r="D138" s="19"/>
      <c r="E138" s="20"/>
    </row>
    <row r="139" spans="1:6">
      <c r="A139" s="58" t="s">
        <v>246</v>
      </c>
      <c r="B139" s="58"/>
      <c r="C139" s="58"/>
      <c r="D139" s="58"/>
      <c r="E139" s="59"/>
    </row>
    <row r="140" spans="1:6">
      <c r="A140" s="58" t="s">
        <v>491</v>
      </c>
      <c r="B140" s="58"/>
      <c r="C140" s="58"/>
      <c r="D140" s="58"/>
      <c r="E140" s="59"/>
    </row>
    <row r="141" spans="1:6">
      <c r="A141" s="10" t="s">
        <v>492</v>
      </c>
      <c r="B141" s="6"/>
      <c r="C141" s="6"/>
      <c r="D141" s="6"/>
    </row>
    <row r="142" ht="13.25" spans="1:6">
      <c r="A142" s="19" t="s">
        <v>250</v>
      </c>
      <c r="B142" s="6"/>
      <c r="C142" s="6"/>
      <c r="D142" s="6"/>
    </row>
    <row r="143" ht="14.5" spans="1:6">
      <c r="A143" s="21" t="s">
        <v>227</v>
      </c>
      <c r="B143" s="21" t="s">
        <v>228</v>
      </c>
      <c r="C143" s="21"/>
      <c r="D143" s="21" t="s">
        <v>229</v>
      </c>
      <c r="E143" s="73"/>
      <c r="F143" s="74" t="s">
        <v>493</v>
      </c>
    </row>
    <row r="144" ht="14.5" spans="1:6">
      <c r="A144" s="21" t="s">
        <v>494</v>
      </c>
      <c r="B144" s="21" t="s">
        <v>253</v>
      </c>
      <c r="C144" s="21" t="s">
        <v>235</v>
      </c>
      <c r="D144" s="21">
        <v>1075</v>
      </c>
      <c r="E144" s="75"/>
      <c r="F144" s="74">
        <v>9003</v>
      </c>
    </row>
    <row r="145" ht="14.5" spans="1:6">
      <c r="A145" s="21" t="s">
        <v>494</v>
      </c>
      <c r="B145" s="21" t="s">
        <v>253</v>
      </c>
      <c r="C145" s="21" t="s">
        <v>235</v>
      </c>
      <c r="D145" s="21">
        <v>1219</v>
      </c>
      <c r="E145" s="75"/>
      <c r="F145" s="74">
        <v>9003</v>
      </c>
    </row>
    <row r="146" ht="13.95" customHeight="1" spans="1:6">
      <c r="A146" s="21" t="s">
        <v>495</v>
      </c>
      <c r="B146" s="21" t="s">
        <v>253</v>
      </c>
      <c r="C146" s="21" t="s">
        <v>235</v>
      </c>
      <c r="D146" s="21">
        <v>1075</v>
      </c>
      <c r="E146" s="75"/>
      <c r="F146" s="74">
        <v>9003</v>
      </c>
    </row>
    <row r="147" ht="13.95" customHeight="1" spans="1:6">
      <c r="A147" s="21" t="s">
        <v>496</v>
      </c>
      <c r="B147" s="21" t="s">
        <v>253</v>
      </c>
      <c r="C147" s="21" t="s">
        <v>235</v>
      </c>
      <c r="D147" s="21">
        <v>1219</v>
      </c>
      <c r="E147" s="75"/>
      <c r="F147" s="74">
        <v>9003</v>
      </c>
    </row>
    <row r="148" ht="14.5" spans="1:6">
      <c r="A148" s="21" t="s">
        <v>497</v>
      </c>
      <c r="B148" s="21" t="s">
        <v>253</v>
      </c>
      <c r="C148" s="21" t="s">
        <v>235</v>
      </c>
      <c r="D148" s="21">
        <v>1219</v>
      </c>
      <c r="E148" s="75"/>
      <c r="F148" s="74">
        <v>9003</v>
      </c>
    </row>
    <row r="149" ht="14.5" spans="1:6">
      <c r="A149" s="21" t="s">
        <v>497</v>
      </c>
      <c r="B149" s="21" t="s">
        <v>253</v>
      </c>
      <c r="C149" s="21" t="s">
        <v>235</v>
      </c>
      <c r="D149" s="21">
        <v>1219</v>
      </c>
      <c r="E149" s="75"/>
      <c r="F149" s="74">
        <v>9003</v>
      </c>
    </row>
    <row r="150" ht="14.5" spans="1:6">
      <c r="A150" s="21" t="s">
        <v>498</v>
      </c>
      <c r="B150" s="21" t="s">
        <v>253</v>
      </c>
      <c r="C150" s="21" t="s">
        <v>235</v>
      </c>
      <c r="D150" s="21">
        <v>1219</v>
      </c>
      <c r="E150" s="75"/>
      <c r="F150" s="74">
        <v>9003</v>
      </c>
    </row>
    <row r="151" ht="13.75" spans="1:6">
      <c r="A151" s="10"/>
      <c r="B151" s="6"/>
      <c r="C151" s="6"/>
      <c r="D151" s="6"/>
      <c r="E151" s="27"/>
    </row>
    <row r="153" ht="13.95" customHeight="1" spans="1:6">
      <c r="A153" s="10"/>
      <c r="B153" s="6"/>
      <c r="C153" s="6"/>
      <c r="D153" s="6"/>
      <c r="E153" s="7"/>
    </row>
    <row r="154" ht="13.95" customHeight="1" spans="1:6">
      <c r="A154" s="11" t="s">
        <v>499</v>
      </c>
      <c r="B154" s="12" t="s">
        <v>261</v>
      </c>
      <c r="C154" s="12"/>
      <c r="D154" s="12"/>
      <c r="E154" s="72"/>
    </row>
    <row r="155" ht="13.95" customHeight="1" spans="1:6">
      <c r="A155" s="16"/>
      <c r="B155" s="16"/>
      <c r="C155" s="6"/>
      <c r="D155" s="6"/>
    </row>
    <row r="156" ht="13.95" customHeight="1" spans="1:6">
      <c r="A156" s="14" t="s">
        <v>211</v>
      </c>
      <c r="B156" s="6"/>
      <c r="C156" s="6"/>
      <c r="D156" s="6"/>
    </row>
    <row r="157" ht="13.95" customHeight="1" spans="1:6">
      <c r="A157" s="19" t="s">
        <v>500</v>
      </c>
      <c r="B157" s="19"/>
      <c r="C157" s="19"/>
      <c r="D157" s="19"/>
      <c r="E157" s="20"/>
    </row>
    <row r="158" spans="1:6">
      <c r="A158" s="19" t="s">
        <v>501</v>
      </c>
      <c r="B158" s="19"/>
      <c r="C158" s="19"/>
      <c r="D158" s="19"/>
      <c r="E158" s="20"/>
    </row>
    <row r="159" spans="1:6">
      <c r="A159" s="19" t="s">
        <v>502</v>
      </c>
      <c r="B159" s="19"/>
      <c r="C159" s="19"/>
      <c r="D159" s="19"/>
      <c r="E159" s="20"/>
    </row>
    <row r="160" ht="13.95" customHeight="1" spans="1:6">
      <c r="A160" s="58" t="s">
        <v>478</v>
      </c>
      <c r="B160" s="58"/>
      <c r="C160" s="58"/>
      <c r="D160" s="58"/>
      <c r="E160" s="59"/>
    </row>
    <row r="161" ht="13.95" customHeight="1" spans="1:6">
      <c r="A161" s="58" t="s">
        <v>503</v>
      </c>
      <c r="B161" s="58"/>
      <c r="C161" s="58"/>
      <c r="D161" s="58"/>
      <c r="E161" s="59"/>
    </row>
    <row r="162" ht="13.95" customHeight="1" spans="1:6">
      <c r="A162" s="10" t="s">
        <v>297</v>
      </c>
      <c r="B162" s="6"/>
      <c r="C162" s="6"/>
      <c r="D162" s="6"/>
    </row>
    <row r="163" ht="13.95" customHeight="1" spans="1:6">
      <c r="A163" s="76" t="s">
        <v>504</v>
      </c>
      <c r="B163" s="6"/>
      <c r="C163" s="6"/>
      <c r="D163" s="6"/>
    </row>
    <row r="164" ht="13.95" customHeight="1" spans="1:6">
      <c r="A164" s="19" t="s">
        <v>250</v>
      </c>
      <c r="B164" s="6"/>
      <c r="C164" s="6"/>
      <c r="D164" s="6"/>
    </row>
    <row r="165" ht="13.95" customHeight="1" spans="1:6">
      <c r="A165" s="21" t="s">
        <v>227</v>
      </c>
      <c r="B165" s="21" t="s">
        <v>228</v>
      </c>
      <c r="C165" s="21"/>
      <c r="D165" s="21" t="s">
        <v>229</v>
      </c>
      <c r="E165" s="25"/>
    </row>
    <row r="166" ht="13.95" customHeight="1" spans="1:6">
      <c r="A166" s="21" t="s">
        <v>230</v>
      </c>
      <c r="B166" s="21" t="s">
        <v>231</v>
      </c>
      <c r="C166" s="21" t="s">
        <v>232</v>
      </c>
      <c r="D166" s="21" t="s">
        <v>230</v>
      </c>
      <c r="E166" s="25"/>
      <c r="F166" s="3"/>
    </row>
    <row r="167" ht="14.5" spans="1:6">
      <c r="A167" s="21" t="s">
        <v>505</v>
      </c>
      <c r="B167" s="21" t="s">
        <v>253</v>
      </c>
      <c r="C167" s="21" t="s">
        <v>235</v>
      </c>
      <c r="D167" s="21">
        <v>1220</v>
      </c>
      <c r="E167" s="40"/>
    </row>
    <row r="168" ht="14.5" spans="1:6">
      <c r="A168" s="66" t="s">
        <v>506</v>
      </c>
      <c r="B168" s="21" t="s">
        <v>253</v>
      </c>
      <c r="C168" s="21" t="s">
        <v>235</v>
      </c>
      <c r="D168" s="21">
        <v>1220</v>
      </c>
      <c r="E168" s="40"/>
      <c r="F168" s="3"/>
    </row>
    <row r="169" ht="14.5" spans="1:6">
      <c r="A169" s="21" t="s">
        <v>507</v>
      </c>
      <c r="B169" s="21" t="s">
        <v>253</v>
      </c>
      <c r="C169" s="21" t="s">
        <v>235</v>
      </c>
      <c r="D169" s="21">
        <v>1220</v>
      </c>
      <c r="E169" s="40">
        <f>0.38+0.02</f>
        <v>0.4</v>
      </c>
    </row>
    <row r="170" ht="14.5" spans="1:6">
      <c r="A170" s="66" t="s">
        <v>508</v>
      </c>
      <c r="B170" s="21" t="s">
        <v>253</v>
      </c>
      <c r="C170" s="21" t="s">
        <v>235</v>
      </c>
      <c r="D170" s="21">
        <v>1220</v>
      </c>
      <c r="E170" s="40"/>
    </row>
    <row r="171" ht="14.5" spans="1:6">
      <c r="A171" s="21" t="s">
        <v>509</v>
      </c>
      <c r="B171" s="21" t="s">
        <v>253</v>
      </c>
      <c r="C171" s="21" t="s">
        <v>235</v>
      </c>
      <c r="D171" s="21">
        <v>1220</v>
      </c>
      <c r="E171" s="40"/>
    </row>
    <row r="172" ht="14.5" spans="1:6">
      <c r="A172" s="21" t="s">
        <v>510</v>
      </c>
      <c r="B172" s="21" t="s">
        <v>253</v>
      </c>
      <c r="C172" s="21" t="s">
        <v>235</v>
      </c>
      <c r="D172" s="21">
        <v>1220</v>
      </c>
      <c r="E172" s="40"/>
    </row>
    <row r="173" ht="15.25" spans="1:6">
      <c r="A173" s="77" t="s">
        <v>238</v>
      </c>
      <c r="B173" s="6"/>
      <c r="C173" s="6"/>
      <c r="D173" s="6"/>
      <c r="E173" s="27"/>
      <c r="F173" s="3"/>
    </row>
    <row r="174" ht="14.5" spans="1:6">
      <c r="A174" s="77"/>
      <c r="B174" s="6"/>
      <c r="C174" s="6"/>
      <c r="D174" s="6"/>
      <c r="E174" s="27"/>
    </row>
    <row r="175" ht="14.5" spans="1:6">
      <c r="A175" s="77"/>
      <c r="B175" s="6"/>
      <c r="C175" s="6"/>
      <c r="D175" s="6"/>
      <c r="E175" s="27"/>
    </row>
    <row r="176" ht="13.75" spans="1:6">
      <c r="D176" s="6"/>
      <c r="E176" s="78"/>
    </row>
    <row r="177" ht="14.5" spans="1:5">
      <c r="A177" s="42" t="s">
        <v>468</v>
      </c>
      <c r="B177" s="43" t="s">
        <v>290</v>
      </c>
      <c r="C177" s="43"/>
      <c r="D177" s="43"/>
      <c r="E177" s="44"/>
    </row>
    <row r="178" ht="13.25" spans="1:5">
      <c r="D178" s="6"/>
    </row>
    <row r="179" spans="1:5">
      <c r="A179" s="14" t="s">
        <v>211</v>
      </c>
      <c r="B179" s="45"/>
      <c r="C179" s="46"/>
      <c r="D179" s="46"/>
      <c r="E179" s="47"/>
    </row>
    <row r="180" spans="1:5">
      <c r="A180" s="29" t="s">
        <v>511</v>
      </c>
      <c r="B180" s="29"/>
      <c r="C180" s="29"/>
      <c r="D180" s="29"/>
      <c r="E180" s="30"/>
    </row>
    <row r="181" spans="1:5">
      <c r="A181" s="79" t="s">
        <v>512</v>
      </c>
      <c r="B181" s="29"/>
      <c r="C181" s="29"/>
      <c r="D181" s="29"/>
      <c r="E181" s="30"/>
    </row>
    <row r="182" spans="1:5">
      <c r="A182" s="29" t="s">
        <v>513</v>
      </c>
      <c r="B182" s="29"/>
      <c r="C182" s="29"/>
      <c r="D182" s="29"/>
      <c r="E182" s="30"/>
    </row>
    <row r="183" spans="1:5">
      <c r="A183" s="29" t="s">
        <v>514</v>
      </c>
      <c r="B183" s="29"/>
      <c r="C183" s="29"/>
      <c r="D183" s="29"/>
      <c r="E183" s="30"/>
    </row>
    <row r="184" spans="1:5">
      <c r="A184" s="29" t="s">
        <v>515</v>
      </c>
      <c r="B184" s="10"/>
      <c r="C184" s="28"/>
      <c r="D184" s="28"/>
      <c r="E184" s="13"/>
    </row>
    <row r="185" ht="13.75" spans="1:5">
      <c r="A185" s="19" t="s">
        <v>250</v>
      </c>
      <c r="B185" s="2"/>
      <c r="C185" s="2"/>
      <c r="D185" s="2"/>
      <c r="E185" s="13"/>
    </row>
    <row r="186" ht="14.5" spans="1:5">
      <c r="A186" s="49" t="s">
        <v>374</v>
      </c>
      <c r="B186" s="50" t="s">
        <v>229</v>
      </c>
      <c r="C186" s="50" t="s">
        <v>375</v>
      </c>
      <c r="D186" s="2"/>
      <c r="E186" s="73" t="s">
        <v>516</v>
      </c>
    </row>
    <row r="187" ht="14.5" spans="1:5">
      <c r="A187" s="51" t="s">
        <v>230</v>
      </c>
      <c r="B187" s="52" t="s">
        <v>230</v>
      </c>
      <c r="C187" s="52"/>
      <c r="D187" s="2"/>
      <c r="E187" s="80" t="s">
        <v>517</v>
      </c>
    </row>
    <row r="188" ht="14.5" spans="1:5">
      <c r="A188" s="54">
        <v>2.45</v>
      </c>
      <c r="B188" s="52">
        <v>1200</v>
      </c>
      <c r="C188" s="52" t="s">
        <v>518</v>
      </c>
      <c r="D188" s="2"/>
      <c r="E188" s="81"/>
    </row>
    <row r="189" ht="15.25" spans="1:5">
      <c r="A189" s="77" t="s">
        <v>238</v>
      </c>
      <c r="B189" s="2"/>
      <c r="C189" s="2"/>
      <c r="D189" s="2"/>
      <c r="E189" s="41">
        <f>SUM(E188)</f>
        <v>0</v>
      </c>
    </row>
    <row r="191" ht="13.25"/>
    <row r="192" ht="14.5" spans="1:5">
      <c r="A192" s="42" t="s">
        <v>174</v>
      </c>
      <c r="B192" s="43" t="s">
        <v>290</v>
      </c>
      <c r="C192" s="43"/>
      <c r="D192" s="43"/>
      <c r="E192" s="44"/>
    </row>
    <row r="193" ht="13.75" spans="1:2">
      <c r="A193" s="15" t="s">
        <v>211</v>
      </c>
      <c r="B193" s="46"/>
    </row>
    <row r="194" spans="1:2">
      <c r="A194" s="29" t="s">
        <v>519</v>
      </c>
      <c r="B194" s="29"/>
    </row>
    <row r="195" spans="1:2">
      <c r="A195" s="2" t="s">
        <v>520</v>
      </c>
      <c r="B195" s="29"/>
    </row>
    <row r="196" spans="1:2">
      <c r="A196" s="2" t="s">
        <v>521</v>
      </c>
      <c r="B196" s="29"/>
    </row>
    <row r="197" spans="1:2">
      <c r="A197" s="29" t="s">
        <v>466</v>
      </c>
      <c r="B197" s="28"/>
    </row>
    <row r="198" ht="13.25" spans="1:2">
      <c r="A198" s="19" t="s">
        <v>250</v>
      </c>
      <c r="B198" s="2"/>
    </row>
    <row r="199" ht="14.5" spans="1:2">
      <c r="A199" s="49" t="s">
        <v>374</v>
      </c>
      <c r="B199" s="50" t="s">
        <v>375</v>
      </c>
    </row>
    <row r="200" ht="14.5" spans="1:2">
      <c r="A200" s="51" t="s">
        <v>230</v>
      </c>
      <c r="B200" s="52"/>
    </row>
    <row r="201" ht="14.5" spans="1:2">
      <c r="A201" s="54">
        <v>1.8</v>
      </c>
      <c r="B201" s="52" t="s">
        <v>522</v>
      </c>
    </row>
    <row r="202" ht="14.5" spans="1:2">
      <c r="A202" s="54">
        <v>2</v>
      </c>
      <c r="B202" s="52" t="s">
        <v>522</v>
      </c>
    </row>
    <row r="203" ht="14.5" spans="1:2">
      <c r="A203" s="54">
        <v>2.5</v>
      </c>
      <c r="B203" s="52" t="s">
        <v>522</v>
      </c>
    </row>
    <row r="204" ht="14.5" spans="1:2">
      <c r="A204" s="54">
        <v>3</v>
      </c>
      <c r="B204" s="52" t="s">
        <v>522</v>
      </c>
    </row>
    <row r="205" ht="14.5" spans="1:2">
      <c r="A205" s="54">
        <v>3.3</v>
      </c>
      <c r="B205" s="52" t="s">
        <v>522</v>
      </c>
    </row>
    <row r="206" ht="13.25"/>
    <row r="211" ht="15.5" spans="1:13">
      <c r="D211" s="82" t="s">
        <v>523</v>
      </c>
      <c r="E211" s="83">
        <f>+SUM(E12,E34,E74,E116,E173)+E96+E151+E189+E49</f>
        <v>0</v>
      </c>
    </row>
    <row r="212" s="1" customFormat="1" ht="14.25" customHeight="1" spans="1:13">
      <c r="A212" s="2"/>
      <c r="B212" s="3"/>
      <c r="C212" s="3"/>
      <c r="D212" s="3"/>
      <c r="E212" s="78"/>
      <c r="F212" s="2"/>
      <c r="G212"/>
      <c r="H212"/>
      <c r="I212"/>
      <c r="J212"/>
      <c r="K212"/>
      <c r="L212"/>
      <c r="M212"/>
    </row>
    <row r="213" s="2" customFormat="1" ht="12" spans="1:13">
      <c r="A213" s="11" t="s">
        <v>524</v>
      </c>
      <c r="B213" s="84" t="s">
        <v>525</v>
      </c>
      <c r="C213" s="12"/>
      <c r="D213" s="12"/>
      <c r="E213" s="72"/>
      <c r="F213" s="85"/>
      <c r="G213" s="86"/>
      <c r="H213" s="1"/>
      <c r="I213" s="1"/>
      <c r="J213" s="1"/>
      <c r="K213" s="1"/>
      <c r="L213" s="1"/>
      <c r="M213" s="1"/>
    </row>
    <row r="214" s="2" customFormat="1" ht="11.25" spans="1:13">
      <c r="A214" s="16"/>
      <c r="B214" s="16"/>
      <c r="C214" s="6"/>
      <c r="D214" s="6"/>
      <c r="E214" s="6"/>
    </row>
    <row r="215" s="2" customFormat="1" ht="25.5" customHeight="1" spans="1:13">
      <c r="A215" s="14" t="s">
        <v>211</v>
      </c>
      <c r="B215" s="6"/>
      <c r="C215" s="6"/>
      <c r="D215" s="6"/>
      <c r="E215" s="6"/>
    </row>
    <row r="216" s="2" customFormat="1" ht="10.5" spans="1:13">
      <c r="A216" s="87" t="s">
        <v>526</v>
      </c>
      <c r="B216" s="87"/>
      <c r="C216" s="87"/>
      <c r="D216" s="87"/>
      <c r="E216" s="87"/>
      <c r="F216" s="8"/>
      <c r="G216" s="8"/>
      <c r="H216" s="8"/>
      <c r="I216" s="8"/>
      <c r="J216" s="8"/>
    </row>
    <row r="217" s="2" customFormat="1" ht="11.25" spans="1:13">
      <c r="A217" s="88" t="s">
        <v>527</v>
      </c>
      <c r="B217" s="88"/>
      <c r="C217" s="88"/>
      <c r="D217" s="88"/>
      <c r="E217" s="88"/>
    </row>
    <row r="218" s="2" customFormat="1" ht="12" spans="1:13">
      <c r="A218" s="10"/>
      <c r="B218" s="6"/>
      <c r="C218" s="6"/>
      <c r="D218" s="3"/>
      <c r="E218" s="74"/>
    </row>
    <row r="219" s="2" customFormat="1" ht="12" spans="1:13">
      <c r="A219" s="22" t="s">
        <v>528</v>
      </c>
      <c r="B219" s="22" t="s">
        <v>529</v>
      </c>
      <c r="C219" s="24"/>
      <c r="D219" s="22" t="s">
        <v>404</v>
      </c>
      <c r="E219" s="74"/>
      <c r="F219" s="3"/>
      <c r="G219" s="3"/>
    </row>
    <row r="220" s="2" customFormat="1" ht="14.5" spans="1:13">
      <c r="A220" s="89" t="s">
        <v>530</v>
      </c>
      <c r="B220" s="90">
        <v>150</v>
      </c>
      <c r="C220" s="91"/>
      <c r="D220" s="92" t="s">
        <v>343</v>
      </c>
      <c r="E220" s="75"/>
      <c r="F220" s="3"/>
      <c r="G220" s="3"/>
    </row>
    <row r="221" s="2" customFormat="1" ht="14.5" spans="1:13">
      <c r="A221" s="89" t="s">
        <v>530</v>
      </c>
      <c r="B221" s="90">
        <v>150</v>
      </c>
      <c r="C221" s="91"/>
      <c r="D221" s="92" t="s">
        <v>531</v>
      </c>
      <c r="E221" s="75"/>
      <c r="F221" s="3"/>
      <c r="G221" s="3"/>
    </row>
    <row r="222" s="2" customFormat="1" ht="14.5" spans="1:13">
      <c r="A222" s="89" t="s">
        <v>532</v>
      </c>
      <c r="B222" s="91" t="s">
        <v>533</v>
      </c>
      <c r="C222" s="91"/>
      <c r="D222" s="92" t="s">
        <v>343</v>
      </c>
      <c r="E222" s="75"/>
      <c r="F222" s="3"/>
      <c r="G222" s="3"/>
    </row>
    <row r="223" s="2" customFormat="1" ht="14.5" spans="1:13">
      <c r="A223" s="89" t="s">
        <v>532</v>
      </c>
      <c r="B223" s="91" t="s">
        <v>533</v>
      </c>
      <c r="C223" s="91"/>
      <c r="D223" s="92" t="s">
        <v>531</v>
      </c>
      <c r="E223" s="75"/>
      <c r="F223" s="3"/>
      <c r="G223" s="3"/>
    </row>
    <row r="224" s="2" customFormat="1" ht="14.5" spans="1:13">
      <c r="A224" s="89" t="s">
        <v>532</v>
      </c>
      <c r="B224" s="91" t="s">
        <v>534</v>
      </c>
      <c r="C224" s="91"/>
      <c r="D224" s="92" t="s">
        <v>343</v>
      </c>
      <c r="E224" s="75"/>
      <c r="F224" s="3"/>
      <c r="G224" s="3"/>
    </row>
    <row r="225" s="2" customFormat="1" ht="14.5" spans="1:13">
      <c r="A225" s="89" t="s">
        <v>532</v>
      </c>
      <c r="B225" s="91" t="s">
        <v>534</v>
      </c>
      <c r="C225" s="91"/>
      <c r="D225" s="92" t="s">
        <v>531</v>
      </c>
      <c r="E225" s="75"/>
      <c r="F225" s="3"/>
      <c r="G225" s="3"/>
    </row>
    <row r="226" s="1" customFormat="1" ht="14.25" customHeight="1" spans="1:13">
      <c r="A226" s="10"/>
      <c r="B226" s="6"/>
      <c r="C226" s="6"/>
      <c r="D226" s="6"/>
      <c r="E226" s="93"/>
      <c r="F226" s="3"/>
      <c r="G226" s="3"/>
      <c r="H226" s="2"/>
      <c r="I226" s="2"/>
      <c r="J226" s="2"/>
      <c r="K226" s="2"/>
      <c r="L226" s="2"/>
      <c r="M226" s="2"/>
    </row>
    <row r="227" s="2" customFormat="1" ht="12" spans="1:13">
      <c r="A227" s="11" t="s">
        <v>535</v>
      </c>
      <c r="B227" s="84" t="s">
        <v>536</v>
      </c>
      <c r="C227" s="12"/>
      <c r="D227" s="12"/>
      <c r="E227" s="72"/>
      <c r="F227" s="85"/>
      <c r="G227" s="86"/>
      <c r="H227" s="1"/>
      <c r="I227" s="1"/>
      <c r="J227" s="1"/>
      <c r="K227" s="1"/>
      <c r="L227" s="1"/>
      <c r="M227" s="1"/>
    </row>
    <row r="228" s="2" customFormat="1" ht="11.25" spans="1:13">
      <c r="A228" s="16"/>
      <c r="B228" s="16"/>
      <c r="C228" s="6"/>
      <c r="D228" s="6"/>
      <c r="E228" s="6"/>
    </row>
    <row r="229" s="2" customFormat="1" ht="25.5" customHeight="1" spans="1:13">
      <c r="A229" s="14" t="s">
        <v>211</v>
      </c>
      <c r="B229" s="6"/>
      <c r="C229" s="6"/>
      <c r="D229" s="6"/>
      <c r="E229" s="6"/>
    </row>
    <row r="230" s="2" customFormat="1" ht="10.5" spans="1:13">
      <c r="A230" s="87" t="s">
        <v>537</v>
      </c>
      <c r="B230" s="87"/>
      <c r="C230" s="87"/>
      <c r="D230" s="87"/>
      <c r="E230" s="87"/>
      <c r="F230" s="8"/>
      <c r="G230" s="8"/>
      <c r="H230" s="8"/>
      <c r="I230" s="8"/>
      <c r="J230" s="8"/>
    </row>
    <row r="231" s="2" customFormat="1" ht="11.25" spans="1:13">
      <c r="A231" s="88" t="s">
        <v>538</v>
      </c>
      <c r="B231" s="88"/>
      <c r="C231" s="88"/>
      <c r="D231" s="88"/>
      <c r="E231" s="88"/>
    </row>
    <row r="232" s="2" customFormat="1" ht="12" spans="1:13">
      <c r="A232" s="10"/>
      <c r="B232" s="6"/>
      <c r="C232" s="6"/>
      <c r="D232" s="3"/>
      <c r="E232" s="74" t="s">
        <v>516</v>
      </c>
    </row>
    <row r="233" s="2" customFormat="1" ht="12" spans="1:13">
      <c r="A233" s="22" t="s">
        <v>528</v>
      </c>
      <c r="B233" s="22" t="s">
        <v>529</v>
      </c>
      <c r="C233" s="24"/>
      <c r="D233" s="22"/>
      <c r="E233" s="74" t="s">
        <v>517</v>
      </c>
      <c r="F233" s="3" t="s">
        <v>539</v>
      </c>
      <c r="G233" s="3" t="s">
        <v>540</v>
      </c>
    </row>
    <row r="234" s="2" customFormat="1" ht="14.5" spans="1:13">
      <c r="A234" s="89" t="s">
        <v>536</v>
      </c>
      <c r="B234" s="91" t="s">
        <v>541</v>
      </c>
      <c r="C234" s="94" t="s">
        <v>542</v>
      </c>
      <c r="D234" s="95"/>
      <c r="E234" s="75"/>
    </row>
    <row r="235" s="2" customFormat="1" ht="14.5" spans="1:13">
      <c r="A235" s="89" t="s">
        <v>536</v>
      </c>
      <c r="B235" s="91" t="s">
        <v>541</v>
      </c>
      <c r="C235" s="91" t="s">
        <v>543</v>
      </c>
      <c r="D235" s="95"/>
      <c r="E235" s="75"/>
    </row>
    <row r="236" s="2" customFormat="1" ht="14.5" spans="1:13">
      <c r="A236" s="89" t="s">
        <v>536</v>
      </c>
      <c r="B236" s="91" t="s">
        <v>544</v>
      </c>
      <c r="C236" s="91" t="s">
        <v>543</v>
      </c>
      <c r="D236" s="95"/>
      <c r="E236" s="75"/>
    </row>
    <row r="237" s="2" customFormat="1" ht="14.5" spans="1:13">
      <c r="A237" s="89" t="s">
        <v>536</v>
      </c>
      <c r="B237" s="91" t="s">
        <v>545</v>
      </c>
      <c r="C237" s="91" t="s">
        <v>543</v>
      </c>
      <c r="D237" s="95"/>
      <c r="E237" s="75"/>
    </row>
    <row r="238" s="2" customFormat="1" ht="14.5" spans="1:13">
      <c r="A238" s="89" t="s">
        <v>536</v>
      </c>
      <c r="B238" s="227" t="s">
        <v>546</v>
      </c>
      <c r="C238" s="91" t="s">
        <v>543</v>
      </c>
      <c r="D238" s="95"/>
      <c r="E238" s="75"/>
    </row>
    <row r="239" s="2" customFormat="1" ht="14.5" spans="1:13">
      <c r="A239" s="89" t="s">
        <v>536</v>
      </c>
      <c r="B239" s="91" t="s">
        <v>543</v>
      </c>
      <c r="C239" s="91" t="s">
        <v>543</v>
      </c>
      <c r="D239" s="95"/>
      <c r="E239" s="75"/>
    </row>
    <row r="240" s="2" customFormat="1" ht="14.5" spans="1:13">
      <c r="A240" s="89" t="s">
        <v>536</v>
      </c>
      <c r="B240" s="227" t="s">
        <v>547</v>
      </c>
      <c r="C240" s="91" t="s">
        <v>543</v>
      </c>
      <c r="D240" s="95"/>
      <c r="E240" s="75"/>
    </row>
    <row r="241" s="2" customFormat="1" ht="12.75" spans="1:13">
      <c r="A241" s="10"/>
      <c r="B241" s="6"/>
      <c r="C241" s="6"/>
      <c r="D241" s="6"/>
      <c r="E241" s="93">
        <f>SUM(E234:E240)</f>
        <v>0</v>
      </c>
      <c r="F241" s="3">
        <f>+IFERROR(SUMPRODUCT($E234:$E240,F234:F240)/SUM($E234:$E240),0)</f>
        <v>0</v>
      </c>
      <c r="G241" s="3">
        <f>+IFERROR(SUMPRODUCT($E234:$E240,G234:G240)/SUM($E234:$E240),0)</f>
        <v>0</v>
      </c>
    </row>
    <row r="242" s="1" customFormat="1" ht="14.25" customHeight="1" spans="1:13">
      <c r="A242" s="10"/>
      <c r="B242" s="6"/>
      <c r="C242" s="6"/>
      <c r="D242" s="6"/>
      <c r="E242" s="6"/>
      <c r="F242" s="2"/>
      <c r="G242" s="2"/>
      <c r="H242" s="2"/>
      <c r="I242" s="2"/>
      <c r="J242" s="2"/>
      <c r="K242" s="2"/>
      <c r="L242" s="2"/>
      <c r="M242" s="2"/>
    </row>
    <row r="243" s="2" customFormat="1" ht="14" spans="1:13">
      <c r="A243" s="11" t="s">
        <v>548</v>
      </c>
      <c r="B243" s="84" t="s">
        <v>549</v>
      </c>
      <c r="C243" s="12"/>
      <c r="D243" s="12"/>
      <c r="E243" s="72"/>
      <c r="F243" s="96"/>
      <c r="G243" s="1"/>
      <c r="H243" s="1"/>
      <c r="I243" s="1"/>
      <c r="J243" s="1"/>
      <c r="K243" s="1"/>
      <c r="L243" s="1"/>
      <c r="M243" s="1"/>
    </row>
    <row r="244" s="2" customFormat="1" ht="11.25" spans="1:13">
      <c r="A244" s="16"/>
      <c r="B244" s="16"/>
      <c r="C244" s="6"/>
      <c r="D244" s="6"/>
      <c r="E244" s="6"/>
    </row>
    <row r="245" s="2" customFormat="1" ht="18" customHeight="1" spans="1:13">
      <c r="A245" s="14" t="s">
        <v>211</v>
      </c>
      <c r="B245" s="6"/>
      <c r="C245" s="6"/>
      <c r="D245" s="6"/>
      <c r="E245" s="6"/>
    </row>
    <row r="246" s="2" customFormat="1" ht="10.5" spans="1:13">
      <c r="A246" s="19" t="s">
        <v>550</v>
      </c>
      <c r="B246" s="19"/>
      <c r="C246" s="19"/>
      <c r="D246" s="19"/>
      <c r="E246" s="19"/>
      <c r="F246" s="8"/>
      <c r="G246" s="8"/>
      <c r="H246" s="8"/>
      <c r="I246" s="8"/>
      <c r="J246" s="8"/>
    </row>
    <row r="247" s="2" customFormat="1" ht="11.25" spans="1:13">
      <c r="A247" s="88" t="s">
        <v>551</v>
      </c>
      <c r="B247" s="88"/>
      <c r="C247" s="88"/>
      <c r="D247" s="88"/>
      <c r="E247" s="88"/>
    </row>
    <row r="248" s="2" customFormat="1" ht="13.5" customHeight="1" spans="1:13">
      <c r="A248" s="97" t="s">
        <v>552</v>
      </c>
      <c r="B248" s="6"/>
      <c r="C248" s="6"/>
      <c r="D248" s="3"/>
      <c r="E248" s="98"/>
    </row>
    <row r="249" s="2" customFormat="1" ht="12" spans="1:13">
      <c r="A249" s="22" t="s">
        <v>528</v>
      </c>
      <c r="B249" s="22" t="s">
        <v>529</v>
      </c>
      <c r="C249" s="24"/>
      <c r="D249" s="3"/>
      <c r="E249" s="99"/>
      <c r="F249" s="3"/>
      <c r="G249" s="3"/>
    </row>
    <row r="250" s="2" customFormat="1" ht="12" spans="1:13">
      <c r="A250" s="89" t="s">
        <v>549</v>
      </c>
      <c r="B250" s="100" t="s">
        <v>553</v>
      </c>
      <c r="C250" s="101"/>
      <c r="D250" s="3"/>
      <c r="E250" s="74"/>
    </row>
    <row r="251" s="2" customFormat="1" ht="12" spans="1:13">
      <c r="A251" s="89" t="s">
        <v>549</v>
      </c>
      <c r="B251" s="100" t="s">
        <v>554</v>
      </c>
      <c r="C251" s="101"/>
      <c r="D251" s="3"/>
      <c r="E251" s="102"/>
    </row>
    <row r="252" s="2" customFormat="1" ht="12" spans="1:13">
      <c r="A252" s="89" t="s">
        <v>549</v>
      </c>
      <c r="B252" s="100" t="s">
        <v>555</v>
      </c>
      <c r="C252" s="101"/>
      <c r="D252" s="3"/>
      <c r="E252" s="102"/>
    </row>
    <row r="253" s="2" customFormat="1" ht="13.75" spans="1:13">
      <c r="A253" s="103" t="s">
        <v>238</v>
      </c>
      <c r="B253" s="6"/>
      <c r="C253" s="6"/>
      <c r="D253" s="3"/>
      <c r="E253" s="93"/>
      <c r="F253" s="3"/>
      <c r="G253" s="3"/>
    </row>
    <row r="254" s="1" customFormat="1" ht="14.25" customHeight="1" spans="1:13">
      <c r="A254" s="10"/>
      <c r="B254" s="6"/>
      <c r="C254" s="6"/>
      <c r="D254" s="6"/>
      <c r="E254" s="6"/>
      <c r="F254" s="2"/>
      <c r="G254" s="2"/>
      <c r="H254" s="2"/>
      <c r="I254" s="2"/>
      <c r="J254" s="2"/>
      <c r="K254" s="2"/>
      <c r="L254" s="2"/>
      <c r="M254" s="2"/>
    </row>
    <row r="255" s="2" customFormat="1" ht="12" spans="1:13">
      <c r="A255" s="11" t="s">
        <v>556</v>
      </c>
      <c r="B255" s="84" t="s">
        <v>557</v>
      </c>
      <c r="C255" s="12"/>
      <c r="D255" s="12"/>
      <c r="E255" s="72"/>
      <c r="F255" s="85"/>
      <c r="G255" s="86"/>
      <c r="H255" s="1"/>
      <c r="I255" s="1"/>
      <c r="J255" s="1"/>
      <c r="K255" s="1"/>
      <c r="L255" s="1"/>
      <c r="M255" s="1"/>
    </row>
    <row r="256" s="2" customFormat="1" ht="11.25" spans="1:13">
      <c r="A256" s="16"/>
      <c r="B256" s="16"/>
      <c r="C256" s="6"/>
      <c r="D256" s="6"/>
      <c r="E256" s="6"/>
    </row>
    <row r="257" s="2" customFormat="1" ht="25.5" customHeight="1" spans="1:10">
      <c r="A257" s="14" t="s">
        <v>211</v>
      </c>
      <c r="B257" s="6"/>
      <c r="C257" s="6"/>
      <c r="D257" s="6"/>
      <c r="E257" s="6"/>
    </row>
    <row r="258" s="2" customFormat="1" ht="10.5" spans="1:10">
      <c r="A258" s="87" t="s">
        <v>558</v>
      </c>
      <c r="B258" s="87"/>
      <c r="C258" s="87"/>
      <c r="D258" s="87"/>
      <c r="E258" s="87"/>
      <c r="F258" s="8"/>
      <c r="G258" s="8"/>
      <c r="H258" s="8"/>
      <c r="I258" s="8"/>
      <c r="J258" s="8"/>
    </row>
    <row r="259" s="2" customFormat="1" ht="11.25" spans="1:10">
      <c r="A259" s="88" t="s">
        <v>538</v>
      </c>
      <c r="B259" s="88"/>
      <c r="C259" s="88"/>
      <c r="D259" s="88"/>
      <c r="E259" s="88"/>
    </row>
    <row r="260" s="2" customFormat="1" ht="12" spans="1:10">
      <c r="A260" s="10"/>
      <c r="B260" s="6"/>
      <c r="C260" s="6"/>
      <c r="D260" s="3"/>
      <c r="E260" s="74" t="s">
        <v>516</v>
      </c>
    </row>
    <row r="261" s="2" customFormat="1" ht="12" spans="1:10">
      <c r="A261" s="22" t="s">
        <v>528</v>
      </c>
      <c r="B261" s="22" t="s">
        <v>529</v>
      </c>
      <c r="C261" s="24"/>
      <c r="D261" s="22"/>
      <c r="E261" s="74" t="s">
        <v>517</v>
      </c>
      <c r="F261" s="3" t="s">
        <v>539</v>
      </c>
      <c r="G261" s="3" t="s">
        <v>540</v>
      </c>
    </row>
    <row r="262" s="2" customFormat="1" ht="12" spans="1:10">
      <c r="A262" s="89" t="s">
        <v>536</v>
      </c>
      <c r="B262" s="227" t="s">
        <v>547</v>
      </c>
      <c r="C262" s="91" t="s">
        <v>559</v>
      </c>
      <c r="D262" s="95"/>
      <c r="E262" s="74"/>
    </row>
    <row r="263" s="2" customFormat="1" ht="12" spans="1:10">
      <c r="A263" s="89" t="s">
        <v>560</v>
      </c>
      <c r="B263" s="91" t="s">
        <v>561</v>
      </c>
      <c r="C263" s="91" t="s">
        <v>559</v>
      </c>
      <c r="D263" s="95"/>
      <c r="E263" s="74"/>
    </row>
    <row r="264" s="2" customFormat="1" ht="12" spans="1:10">
      <c r="A264" s="89" t="s">
        <v>562</v>
      </c>
      <c r="B264" s="91" t="s">
        <v>563</v>
      </c>
      <c r="C264" s="91" t="s">
        <v>559</v>
      </c>
      <c r="D264" s="95"/>
      <c r="E264" s="74"/>
    </row>
    <row r="265" s="2" customFormat="1" ht="12" spans="1:10">
      <c r="A265" s="89" t="s">
        <v>562</v>
      </c>
      <c r="B265" s="91" t="s">
        <v>564</v>
      </c>
      <c r="C265" s="91" t="s">
        <v>559</v>
      </c>
      <c r="D265" s="95"/>
      <c r="E265" s="74"/>
    </row>
    <row r="266" s="2" customFormat="1" ht="12" spans="1:10">
      <c r="A266" s="89" t="s">
        <v>562</v>
      </c>
      <c r="B266" s="91" t="s">
        <v>565</v>
      </c>
      <c r="C266" s="91" t="s">
        <v>559</v>
      </c>
      <c r="D266" s="95"/>
      <c r="E266" s="74"/>
    </row>
    <row r="267" s="2" customFormat="1" ht="12" spans="1:10">
      <c r="A267" s="89" t="s">
        <v>560</v>
      </c>
      <c r="B267" s="227" t="s">
        <v>547</v>
      </c>
      <c r="C267" s="91" t="s">
        <v>559</v>
      </c>
      <c r="D267" s="95"/>
      <c r="E267" s="74"/>
    </row>
    <row r="268" s="2" customFormat="1" ht="12" spans="1:10">
      <c r="A268" s="89" t="s">
        <v>560</v>
      </c>
      <c r="B268" s="91" t="s">
        <v>545</v>
      </c>
      <c r="C268" s="91" t="s">
        <v>559</v>
      </c>
      <c r="D268" s="95"/>
      <c r="E268" s="74"/>
    </row>
    <row r="269" s="2" customFormat="1" ht="12" spans="1:10">
      <c r="A269" s="89" t="s">
        <v>560</v>
      </c>
      <c r="B269" s="227" t="s">
        <v>566</v>
      </c>
      <c r="C269" s="91" t="s">
        <v>559</v>
      </c>
      <c r="D269" s="95"/>
      <c r="E269" s="74"/>
    </row>
    <row r="270" s="2" customFormat="1" ht="12" spans="1:10">
      <c r="A270" s="89" t="s">
        <v>560</v>
      </c>
      <c r="B270" s="91" t="s">
        <v>543</v>
      </c>
      <c r="C270" s="91" t="s">
        <v>559</v>
      </c>
      <c r="D270" s="95"/>
      <c r="E270" s="74"/>
    </row>
    <row r="271" s="2" customFormat="1" ht="12" spans="1:10">
      <c r="A271" s="89" t="s">
        <v>562</v>
      </c>
      <c r="B271" s="91" t="s">
        <v>563</v>
      </c>
      <c r="C271" s="91" t="s">
        <v>567</v>
      </c>
      <c r="D271" s="95"/>
      <c r="E271" s="74"/>
    </row>
    <row r="272" s="2" customFormat="1" ht="12" spans="1:10">
      <c r="A272" s="89" t="s">
        <v>560</v>
      </c>
      <c r="B272" s="91" t="s">
        <v>545</v>
      </c>
      <c r="C272" s="91" t="s">
        <v>567</v>
      </c>
      <c r="D272" s="95"/>
      <c r="E272" s="74"/>
    </row>
    <row r="273" s="2" customFormat="1" ht="12" spans="1:13">
      <c r="A273" s="89" t="s">
        <v>560</v>
      </c>
      <c r="B273" s="91" t="s">
        <v>543</v>
      </c>
      <c r="C273" s="91" t="s">
        <v>567</v>
      </c>
      <c r="D273" s="95"/>
      <c r="E273" s="74"/>
    </row>
    <row r="274" s="2" customFormat="1" ht="12" spans="1:13">
      <c r="A274" s="89" t="s">
        <v>560</v>
      </c>
      <c r="B274" s="227" t="s">
        <v>547</v>
      </c>
      <c r="C274" s="91" t="s">
        <v>567</v>
      </c>
      <c r="D274" s="95"/>
      <c r="E274" s="74"/>
    </row>
    <row r="275" s="2" customFormat="1" ht="12" spans="1:13">
      <c r="A275" s="89" t="s">
        <v>536</v>
      </c>
      <c r="B275" s="227" t="s">
        <v>547</v>
      </c>
      <c r="C275" s="91" t="s">
        <v>567</v>
      </c>
      <c r="D275" s="95"/>
      <c r="E275" s="74"/>
    </row>
    <row r="276" s="2" customFormat="1" ht="12" spans="1:13">
      <c r="A276" s="89" t="s">
        <v>560</v>
      </c>
      <c r="B276" s="227" t="s">
        <v>566</v>
      </c>
      <c r="C276" s="91" t="s">
        <v>567</v>
      </c>
      <c r="D276" s="95"/>
      <c r="E276" s="74"/>
    </row>
    <row r="277" s="2" customFormat="1" ht="12" spans="1:13">
      <c r="A277" s="89" t="s">
        <v>562</v>
      </c>
      <c r="B277" s="91" t="s">
        <v>568</v>
      </c>
      <c r="C277" s="91" t="s">
        <v>567</v>
      </c>
      <c r="D277" s="95"/>
      <c r="E277" s="74"/>
    </row>
    <row r="278" s="2" customFormat="1" ht="12" spans="1:13">
      <c r="A278" s="89" t="s">
        <v>560</v>
      </c>
      <c r="B278" s="91" t="s">
        <v>561</v>
      </c>
      <c r="C278" s="91" t="s">
        <v>567</v>
      </c>
      <c r="D278" s="95"/>
      <c r="E278" s="74"/>
    </row>
    <row r="279" s="2" customFormat="1" ht="12.75" spans="1:13">
      <c r="A279" s="10"/>
      <c r="B279" s="6"/>
      <c r="C279" s="6"/>
      <c r="D279" s="6"/>
      <c r="E279" s="93">
        <f>SUM(E262:E278)</f>
        <v>0</v>
      </c>
      <c r="F279" s="3">
        <f>+IFERROR(SUMPRODUCT($E262:$E278,F262:F278)/SUM($E262:$E278),0)</f>
        <v>0</v>
      </c>
      <c r="G279" s="3">
        <f>+IFERROR(SUMPRODUCT($E262:$E278,G262:G278)/SUM($E262:$E278),0)</f>
        <v>0</v>
      </c>
    </row>
    <row r="280" s="1" customFormat="1" ht="14.25" customHeight="1" spans="1:13">
      <c r="A280" s="2"/>
      <c r="B280" s="3"/>
      <c r="C280" s="3"/>
      <c r="D280" s="3"/>
      <c r="E280" s="3"/>
      <c r="F280" s="2"/>
      <c r="G280" s="2"/>
      <c r="H280" s="2"/>
      <c r="I280" s="2"/>
      <c r="J280" s="2"/>
      <c r="K280" s="2"/>
      <c r="L280" s="2"/>
      <c r="M280" s="2"/>
    </row>
    <row r="281" s="2" customFormat="1" ht="12" spans="1:13">
      <c r="A281" s="11" t="s">
        <v>569</v>
      </c>
      <c r="B281" s="84" t="s">
        <v>570</v>
      </c>
      <c r="C281" s="12"/>
      <c r="D281" s="12"/>
      <c r="E281" s="72"/>
      <c r="F281" s="85"/>
      <c r="G281" s="86"/>
      <c r="H281" s="1"/>
      <c r="I281" s="1"/>
      <c r="J281" s="1"/>
      <c r="K281" s="1"/>
      <c r="L281" s="1"/>
      <c r="M281" s="1"/>
    </row>
    <row r="282" s="2" customFormat="1" ht="11.25" spans="1:13">
      <c r="A282" s="16"/>
      <c r="B282" s="16"/>
      <c r="C282" s="6"/>
      <c r="D282" s="6"/>
      <c r="E282" s="6"/>
    </row>
    <row r="283" s="2" customFormat="1" ht="12" customHeight="1" spans="1:13">
      <c r="A283" s="14" t="s">
        <v>211</v>
      </c>
      <c r="B283" s="6"/>
      <c r="C283" s="6"/>
      <c r="D283" s="6"/>
      <c r="E283" s="6"/>
    </row>
    <row r="284" s="2" customFormat="1" ht="10.5" spans="1:13">
      <c r="A284" s="87" t="s">
        <v>571</v>
      </c>
      <c r="B284" s="87"/>
      <c r="C284" s="87"/>
      <c r="D284" s="87"/>
      <c r="E284" s="87"/>
      <c r="F284" s="8"/>
      <c r="G284" s="8"/>
      <c r="H284" s="8"/>
      <c r="I284" s="8"/>
      <c r="J284" s="8"/>
    </row>
    <row r="285" s="2" customFormat="1" ht="10.5" spans="1:13">
      <c r="A285" s="88" t="s">
        <v>572</v>
      </c>
      <c r="B285" s="88"/>
      <c r="C285" s="88"/>
      <c r="D285" s="88"/>
      <c r="E285" s="88"/>
    </row>
    <row r="286" s="2" customFormat="1" ht="11.25" spans="1:13">
      <c r="A286" s="104" t="s">
        <v>573</v>
      </c>
      <c r="B286" s="88"/>
      <c r="C286" s="88"/>
      <c r="D286" s="88"/>
      <c r="E286" s="88"/>
    </row>
    <row r="287" s="2" customFormat="1" ht="12" spans="1:13">
      <c r="A287" s="10"/>
      <c r="B287" s="6"/>
      <c r="C287" s="6"/>
      <c r="D287" s="3"/>
      <c r="E287" s="98"/>
      <c r="F287" s="3"/>
      <c r="G287" s="3"/>
    </row>
    <row r="288" s="2" customFormat="1" ht="12" spans="1:13">
      <c r="A288" s="22" t="s">
        <v>528</v>
      </c>
      <c r="B288" s="22" t="s">
        <v>529</v>
      </c>
      <c r="C288" s="24"/>
      <c r="D288" s="3"/>
      <c r="E288" s="99"/>
    </row>
    <row r="289" s="2" customFormat="1" ht="14.5" spans="1:7">
      <c r="A289" s="89" t="s">
        <v>574</v>
      </c>
      <c r="B289" s="22" t="s">
        <v>575</v>
      </c>
      <c r="C289" s="24"/>
      <c r="D289" s="3"/>
      <c r="E289" s="105"/>
      <c r="F289" s="106"/>
    </row>
    <row r="290" s="2" customFormat="1" ht="14.5" spans="1:7">
      <c r="A290" s="89" t="s">
        <v>574</v>
      </c>
      <c r="B290" s="22" t="s">
        <v>576</v>
      </c>
      <c r="C290" s="24"/>
      <c r="D290" s="3"/>
      <c r="E290" s="105"/>
      <c r="F290" s="106"/>
    </row>
    <row r="291" s="2" customFormat="1" ht="14.5" spans="1:7">
      <c r="A291" s="89" t="s">
        <v>574</v>
      </c>
      <c r="B291" s="22" t="s">
        <v>577</v>
      </c>
      <c r="C291" s="24"/>
      <c r="D291" s="3"/>
      <c r="E291" s="105"/>
      <c r="F291" s="106"/>
    </row>
    <row r="292" s="2" customFormat="1" ht="14.5" spans="1:7">
      <c r="A292" s="89" t="s">
        <v>574</v>
      </c>
      <c r="B292" s="22" t="s">
        <v>578</v>
      </c>
      <c r="C292" s="24"/>
      <c r="D292" s="3"/>
      <c r="E292" s="105"/>
      <c r="F292" s="106"/>
    </row>
    <row r="293" s="2" customFormat="1" ht="14.5" spans="1:7">
      <c r="A293" s="89" t="s">
        <v>574</v>
      </c>
      <c r="B293" s="22" t="s">
        <v>579</v>
      </c>
      <c r="C293" s="24"/>
      <c r="D293" s="3"/>
      <c r="E293" s="105"/>
      <c r="F293" s="106"/>
    </row>
    <row r="294" s="2" customFormat="1" ht="14.5" spans="1:7">
      <c r="A294" s="89" t="s">
        <v>580</v>
      </c>
      <c r="B294" s="22" t="s">
        <v>581</v>
      </c>
      <c r="C294" s="24"/>
      <c r="D294" s="3"/>
      <c r="E294" s="105"/>
      <c r="F294" s="106"/>
    </row>
    <row r="295" s="2" customFormat="1" ht="14.5" spans="1:7">
      <c r="A295" s="89" t="s">
        <v>580</v>
      </c>
      <c r="B295" s="22" t="s">
        <v>582</v>
      </c>
      <c r="C295" s="24"/>
      <c r="D295" s="3"/>
      <c r="E295" s="105"/>
      <c r="F295" s="106"/>
    </row>
    <row r="296" s="2" customFormat="1" ht="14.5" spans="1:7">
      <c r="A296" s="89" t="s">
        <v>580</v>
      </c>
      <c r="B296" s="22" t="s">
        <v>583</v>
      </c>
      <c r="C296" s="24"/>
      <c r="D296" s="3"/>
      <c r="E296" s="107"/>
      <c r="F296" s="106"/>
    </row>
    <row r="297" s="2" customFormat="1" ht="14.5" spans="1:7">
      <c r="A297" s="89" t="s">
        <v>584</v>
      </c>
      <c r="B297" s="22" t="s">
        <v>585</v>
      </c>
      <c r="C297" s="24"/>
      <c r="D297" s="3"/>
      <c r="E297" s="107"/>
      <c r="F297" s="106"/>
    </row>
    <row r="298" s="2" customFormat="1" ht="14.5" spans="1:7">
      <c r="A298" s="89" t="s">
        <v>584</v>
      </c>
      <c r="B298" s="22" t="s">
        <v>586</v>
      </c>
      <c r="C298" s="24"/>
      <c r="D298" s="3"/>
      <c r="E298" s="107"/>
      <c r="F298" s="106"/>
    </row>
    <row r="299" s="2" customFormat="1" ht="14.5" spans="1:7">
      <c r="A299" s="89" t="s">
        <v>584</v>
      </c>
      <c r="B299" s="22" t="s">
        <v>587</v>
      </c>
      <c r="C299" s="24"/>
      <c r="D299" s="3"/>
      <c r="E299" s="107"/>
      <c r="F299" s="106"/>
    </row>
    <row r="300" s="2" customFormat="1" ht="14.5" spans="1:7">
      <c r="A300" s="89" t="s">
        <v>588</v>
      </c>
      <c r="B300" s="22" t="s">
        <v>589</v>
      </c>
      <c r="C300" s="24"/>
      <c r="D300" s="3"/>
      <c r="E300" s="107"/>
      <c r="F300" s="106"/>
    </row>
    <row r="301" s="2" customFormat="1" ht="14.5" spans="1:7">
      <c r="A301" s="89" t="s">
        <v>588</v>
      </c>
      <c r="B301" s="22" t="s">
        <v>590</v>
      </c>
      <c r="C301" s="24"/>
      <c r="D301" s="3"/>
      <c r="E301" s="107"/>
      <c r="F301" s="106"/>
    </row>
    <row r="302" s="2" customFormat="1" ht="13.75" spans="1:7">
      <c r="A302" s="103" t="s">
        <v>238</v>
      </c>
      <c r="B302" s="6"/>
      <c r="C302" s="6"/>
      <c r="D302" s="3"/>
      <c r="E302" s="108"/>
      <c r="F302" s="3"/>
      <c r="G302" s="3"/>
    </row>
    <row r="303" s="2" customFormat="1" ht="10.5" spans="1:7">
      <c r="B303" s="3"/>
      <c r="C303" s="3"/>
      <c r="D303" s="3"/>
      <c r="E303" s="3"/>
    </row>
    <row r="304" s="2" customFormat="1" ht="11.25" spans="1:7">
      <c r="B304" s="3"/>
      <c r="C304" s="3"/>
      <c r="D304" s="3"/>
      <c r="E304" s="3"/>
    </row>
    <row r="305" s="2" customFormat="1" ht="12" spans="1:7">
      <c r="A305" s="11" t="s">
        <v>591</v>
      </c>
      <c r="B305" s="84" t="s">
        <v>592</v>
      </c>
      <c r="C305" s="12"/>
      <c r="D305" s="12"/>
      <c r="E305" s="72"/>
    </row>
    <row r="306" s="2" customFormat="1" ht="11.25" spans="1:7">
      <c r="A306" s="16"/>
      <c r="B306" s="16"/>
      <c r="C306" s="6"/>
      <c r="D306" s="6"/>
      <c r="E306" s="6"/>
    </row>
    <row r="307" s="2" customFormat="1" ht="11.25" customHeight="1" spans="1:7">
      <c r="A307" s="14" t="s">
        <v>211</v>
      </c>
      <c r="B307" s="6"/>
      <c r="C307" s="6"/>
      <c r="D307" s="6"/>
      <c r="E307" s="6"/>
    </row>
    <row r="308" s="2" customFormat="1" ht="11.25" customHeight="1" spans="1:7">
      <c r="A308" s="87" t="s">
        <v>593</v>
      </c>
      <c r="B308" s="87"/>
      <c r="C308" s="87"/>
      <c r="D308" s="87"/>
      <c r="E308" s="87"/>
    </row>
    <row r="309" s="2" customFormat="1" ht="11.25" customHeight="1" spans="1:7">
      <c r="A309" s="87" t="s">
        <v>594</v>
      </c>
      <c r="B309" s="87" t="s">
        <v>595</v>
      </c>
      <c r="C309" s="87"/>
      <c r="D309" s="87"/>
      <c r="E309" s="87"/>
    </row>
    <row r="310" s="2" customFormat="1" ht="11.25" customHeight="1" spans="1:7">
      <c r="A310" s="87" t="s">
        <v>596</v>
      </c>
      <c r="B310" s="87"/>
      <c r="C310" s="87"/>
      <c r="D310" s="87"/>
      <c r="E310" s="87"/>
    </row>
    <row r="311" s="2" customFormat="1" ht="11.25" customHeight="1" spans="1:7">
      <c r="A311" s="87" t="s">
        <v>597</v>
      </c>
      <c r="B311" s="87"/>
      <c r="C311" s="87"/>
      <c r="D311" s="87"/>
      <c r="E311" s="87"/>
    </row>
    <row r="312" s="2" customFormat="1" ht="11.25" customHeight="1" spans="1:7">
      <c r="A312" s="87" t="s">
        <v>598</v>
      </c>
      <c r="B312" s="87"/>
      <c r="C312" s="87"/>
      <c r="D312" s="87"/>
      <c r="E312" s="87"/>
    </row>
    <row r="313" s="2" customFormat="1" ht="11.25" customHeight="1" spans="1:7">
      <c r="A313" s="87"/>
      <c r="B313" s="87"/>
      <c r="C313" s="87"/>
      <c r="D313" s="87"/>
      <c r="E313" s="87"/>
    </row>
    <row r="314" s="2" customFormat="1" ht="11.25" customHeight="1" spans="1:7">
      <c r="A314" s="88" t="s">
        <v>599</v>
      </c>
      <c r="B314" s="109"/>
      <c r="C314" s="87"/>
      <c r="D314" s="87"/>
      <c r="E314" s="87"/>
    </row>
    <row r="315" s="2" customFormat="1" ht="11.25" spans="1:7">
      <c r="A315" s="104" t="s">
        <v>573</v>
      </c>
      <c r="B315" s="87"/>
      <c r="C315" s="87"/>
      <c r="D315" s="87"/>
      <c r="E315" s="87"/>
    </row>
    <row r="316" s="2" customFormat="1" ht="12" spans="1:7">
      <c r="A316" s="10"/>
      <c r="B316" s="6"/>
      <c r="C316" s="6"/>
      <c r="D316" s="3"/>
      <c r="E316" s="98" t="s">
        <v>516</v>
      </c>
      <c r="F316" s="3" t="s">
        <v>539</v>
      </c>
      <c r="G316" s="3" t="s">
        <v>540</v>
      </c>
    </row>
    <row r="317" s="2" customFormat="1" ht="12" spans="1:7">
      <c r="A317" s="22" t="s">
        <v>528</v>
      </c>
      <c r="B317" s="22" t="s">
        <v>600</v>
      </c>
      <c r="C317" s="24"/>
      <c r="D317" s="3"/>
      <c r="E317" s="99"/>
    </row>
    <row r="318" s="2" customFormat="1" ht="14.5" spans="1:7">
      <c r="A318" s="89" t="s">
        <v>592</v>
      </c>
      <c r="B318" s="22" t="s">
        <v>585</v>
      </c>
      <c r="C318" s="24"/>
      <c r="D318" s="3"/>
      <c r="E318" s="105"/>
    </row>
    <row r="319" s="2" customFormat="1" ht="14.5" spans="1:7">
      <c r="A319" s="89" t="s">
        <v>592</v>
      </c>
      <c r="B319" s="22" t="s">
        <v>587</v>
      </c>
      <c r="C319" s="24"/>
      <c r="D319" s="3"/>
      <c r="E319" s="105"/>
    </row>
    <row r="320" s="2" customFormat="1" ht="14.5" spans="1:7">
      <c r="A320" s="89" t="s">
        <v>592</v>
      </c>
      <c r="B320" s="22" t="s">
        <v>586</v>
      </c>
      <c r="C320" s="24"/>
      <c r="D320" s="3"/>
      <c r="E320" s="105"/>
    </row>
    <row r="321" s="2" customFormat="1" ht="14.25" customHeight="1" spans="1:13">
      <c r="A321" s="89" t="s">
        <v>592</v>
      </c>
      <c r="B321" s="22" t="s">
        <v>601</v>
      </c>
      <c r="C321" s="24"/>
      <c r="D321" s="3"/>
      <c r="E321" s="105"/>
    </row>
    <row r="322" s="2" customFormat="1" ht="14.25" customHeight="1" spans="1:13">
      <c r="A322" s="89" t="s">
        <v>592</v>
      </c>
      <c r="B322" s="22" t="s">
        <v>602</v>
      </c>
      <c r="C322" s="24"/>
      <c r="D322" s="3"/>
      <c r="E322" s="105"/>
    </row>
    <row r="323" s="2" customFormat="1" ht="14.25" customHeight="1" spans="1:13">
      <c r="A323" s="89" t="s">
        <v>592</v>
      </c>
      <c r="B323" s="22" t="s">
        <v>603</v>
      </c>
      <c r="C323" s="24"/>
      <c r="D323" s="3"/>
      <c r="E323" s="105"/>
    </row>
    <row r="324" s="2" customFormat="1" ht="14.5" spans="1:13">
      <c r="A324" s="89" t="s">
        <v>592</v>
      </c>
      <c r="B324" s="22" t="s">
        <v>604</v>
      </c>
      <c r="C324" s="24"/>
      <c r="D324" s="3"/>
      <c r="E324" s="105"/>
    </row>
    <row r="325" s="2" customFormat="1" ht="13.75" spans="1:13">
      <c r="A325" s="103" t="s">
        <v>238</v>
      </c>
      <c r="B325" s="6"/>
      <c r="C325" s="6"/>
      <c r="D325" s="3"/>
      <c r="E325" s="41">
        <f>SUM(E318:E324)</f>
        <v>0</v>
      </c>
      <c r="F325" s="3">
        <f>+IFERROR(SUMPRODUCT($E318:$E324,F318:F324)/SUM($E318:$E324),0)</f>
        <v>0</v>
      </c>
      <c r="G325" s="3">
        <f>+IFERROR(SUMPRODUCT($E318:$E324,G318:G324)/SUM($E318:$E324),0)</f>
        <v>0</v>
      </c>
    </row>
    <row r="326" s="2" customFormat="1" ht="10.5" spans="1:13">
      <c r="B326" s="3"/>
      <c r="C326" s="3"/>
      <c r="D326" s="3"/>
      <c r="E326" s="3"/>
    </row>
    <row r="327" ht="12.5" spans="1:13">
      <c r="E327" s="3"/>
      <c r="G327" s="2"/>
      <c r="H327" s="2"/>
      <c r="I327" s="2"/>
      <c r="J327" s="2"/>
      <c r="K327" s="2"/>
      <c r="L327" s="2"/>
      <c r="M327" s="2"/>
    </row>
  </sheetData>
  <autoFilter xmlns:etc="http://www.wps.cn/officeDocument/2017/etCustomData" ref="A145:J173" etc:filterBottomFollowUsedRange="0">
    <extLst/>
  </autoFilter>
  <mergeCells count="101">
    <mergeCell ref="A1:E1"/>
    <mergeCell ref="A2:E2"/>
    <mergeCell ref="B10:E10"/>
    <mergeCell ref="A15:C15"/>
    <mergeCell ref="B20:D20"/>
    <mergeCell ref="B21:D21"/>
    <mergeCell ref="B22:D22"/>
    <mergeCell ref="B23:D23"/>
    <mergeCell ref="B24:D24"/>
    <mergeCell ref="B25:D25"/>
    <mergeCell ref="B26:D26"/>
    <mergeCell ref="B27:D27"/>
    <mergeCell ref="B30:E30"/>
    <mergeCell ref="A31:B31"/>
    <mergeCell ref="B39:D39"/>
    <mergeCell ref="B40:D40"/>
    <mergeCell ref="B43:D43"/>
    <mergeCell ref="B45:D45"/>
    <mergeCell ref="B46:D46"/>
    <mergeCell ref="B47:D47"/>
    <mergeCell ref="B48:D48"/>
    <mergeCell ref="B49:D49"/>
    <mergeCell ref="B52:E52"/>
    <mergeCell ref="A53:B53"/>
    <mergeCell ref="B61:D61"/>
    <mergeCell ref="B62:D62"/>
    <mergeCell ref="B68:E68"/>
    <mergeCell ref="B114:E114"/>
    <mergeCell ref="A116:B116"/>
    <mergeCell ref="A121:C121"/>
    <mergeCell ref="B124:C124"/>
    <mergeCell ref="B133:E133"/>
    <mergeCell ref="A134:B134"/>
    <mergeCell ref="B143:C143"/>
    <mergeCell ref="B154:E154"/>
    <mergeCell ref="A155:B155"/>
    <mergeCell ref="B165:C165"/>
    <mergeCell ref="B177:E177"/>
    <mergeCell ref="B192:E192"/>
    <mergeCell ref="B213:E213"/>
    <mergeCell ref="F213:G213"/>
    <mergeCell ref="A214:B214"/>
    <mergeCell ref="A216:E216"/>
    <mergeCell ref="F216:J216"/>
    <mergeCell ref="B219:C219"/>
    <mergeCell ref="B227:E227"/>
    <mergeCell ref="F227:G227"/>
    <mergeCell ref="A228:B228"/>
    <mergeCell ref="A230:E230"/>
    <mergeCell ref="F230:J230"/>
    <mergeCell ref="B233:C233"/>
    <mergeCell ref="B243:E243"/>
    <mergeCell ref="A244:B244"/>
    <mergeCell ref="F246:J246"/>
    <mergeCell ref="B249:C249"/>
    <mergeCell ref="B250:C250"/>
    <mergeCell ref="B251:C251"/>
    <mergeCell ref="B252:C252"/>
    <mergeCell ref="B255:E255"/>
    <mergeCell ref="F255:G255"/>
    <mergeCell ref="A256:B256"/>
    <mergeCell ref="A258:E258"/>
    <mergeCell ref="F258:J258"/>
    <mergeCell ref="B261:C261"/>
    <mergeCell ref="B281:E281"/>
    <mergeCell ref="F281:G281"/>
    <mergeCell ref="A282:B282"/>
    <mergeCell ref="A284:E284"/>
    <mergeCell ref="F284:J284"/>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5:E305"/>
    <mergeCell ref="A306:B306"/>
    <mergeCell ref="A308:E308"/>
    <mergeCell ref="A309:E309"/>
    <mergeCell ref="A310:E310"/>
    <mergeCell ref="A311:E311"/>
    <mergeCell ref="B317:C317"/>
    <mergeCell ref="B318:C318"/>
    <mergeCell ref="B319:C319"/>
    <mergeCell ref="B320:C320"/>
    <mergeCell ref="B321:C321"/>
    <mergeCell ref="B322:C322"/>
    <mergeCell ref="B323:C323"/>
    <mergeCell ref="B324:C324"/>
    <mergeCell ref="E248:E249"/>
    <mergeCell ref="E287:E288"/>
    <mergeCell ref="E316:E317"/>
    <mergeCell ref="A312:E313"/>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AB8999E-B478-4CA3-A2EE-C1C3929B363B}">
  <ds:schemaRefs/>
</ds:datastoreItem>
</file>

<file path=customXml/itemProps2.xml><?xml version="1.0" encoding="utf-8"?>
<ds:datastoreItem xmlns:ds="http://schemas.openxmlformats.org/officeDocument/2006/customXml" ds:itemID="{B5C87DC0-71DD-47D7-9FB0-92CCD8F1C26F}">
  <ds:schemaRefs/>
</ds:datastoreItem>
</file>

<file path=customXml/itemProps3.xml><?xml version="1.0" encoding="utf-8"?>
<ds:datastoreItem xmlns:ds="http://schemas.openxmlformats.org/officeDocument/2006/customXml" ds:itemID="{1AF11604-83C5-4D77-99DD-9B7A194F1967}">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Datos</vt:lpstr>
      <vt:lpstr>PRODUCTS</vt:lpstr>
      <vt:lpstr>COILS</vt:lpstr>
      <vt:lpstr>ESPECIFICACIONES PELpara los án</vt:lpstr>
      <vt:lpstr>Hoja1</vt:lpstr>
      <vt:lpstr>GENERAL SPECIFICATIONS CINTAC</vt:lpstr>
      <vt:lpstr>GENERAL SPECIFICATIONS TUPEMESA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cp:lastModifiedBy>
  <dcterms:created xsi:type="dcterms:W3CDTF">2010-06-30T12:58:00Z</dcterms:created>
  <dcterms:modified xsi:type="dcterms:W3CDTF">2026-07-31T19:17:41Z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0x010100033DEE9AD3A3294FAFB6027DB2A2C051</vt:lpwstr>
  </property>
  <property fmtid="{D5CDD505-2E9C-101B-9397-08002B2CF9AE}" pid="3" name="MediaServiceImageTags">
    <vt:lpwstr/>
  </property>
  <property fmtid="{D5CDD505-2E9C-101B-9397-08002B2CF9AE}" pid="4" name="ICV">
    <vt:lpwstr>6D148434CB804A63B0ED06DC0CFFB7E8_12</vt:lpwstr>
  </property>
  <property fmtid="{D5CDD505-2E9C-101B-9397-08002B2CF9AE}" pid="5" name="KSOProductBuildVer">
    <vt:lpwstr>2052-12.1.0.28043</vt:lpwstr>
  </property>
  <property fmtid="{D5CDD505-2E9C-101B-9397-08002B2CF9AE}" pid="6" name="CalculationRule">
    <vt:i4>0</vt:i4>
  </property>
</Properties>
</file>